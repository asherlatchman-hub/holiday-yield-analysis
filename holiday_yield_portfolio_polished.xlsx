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pivotTables/pivotTable.xml" ContentType="application/vnd.openxmlformats-officedocument.spreadsheetml.pivot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pivotTables/pivotTable2.xml" ContentType="application/vnd.openxmlformats-officedocument.spreadsheetml.pivot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e6e45d4d3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9ca97b4243843ca"/>
    <x:sheet xmlns:r="http://schemas.openxmlformats.org/officeDocument/2006/relationships" name="Dashboard" sheetId="2" r:id="Ra33beb34fff44cb9"/>
    <x:sheet xmlns:r="http://schemas.openxmlformats.org/officeDocument/2006/relationships" name="Pivot Detail" sheetId="7" r:id="R5d2c6874e0dc45e8"/>
    <x:sheet xmlns:r="http://schemas.openxmlformats.org/officeDocument/2006/relationships" name="Booking Growth" sheetId="9" r:id="R382a19f7cfad4343"/>
    <x:sheet xmlns:r="http://schemas.openxmlformats.org/officeDocument/2006/relationships" name="Load Factor" sheetId="6" r:id="R016d01a1f7af41a9"/>
    <x:sheet xmlns:r="http://schemas.openxmlformats.org/officeDocument/2006/relationships" name="Performance Dashboard" sheetId="10" r:id="R5c031f45d25d4fc3"/>
    <x:sheet xmlns:r="http://schemas.openxmlformats.org/officeDocument/2006/relationships" name="Price Analysis" sheetId="11" r:id="R50e9f2c4ea944d42"/>
    <x:sheet xmlns:r="http://schemas.openxmlformats.org/officeDocument/2006/relationships" name="Bookings" sheetId="3" r:id="R6f5b543707b94fd6"/>
    <x:sheet xmlns:r="http://schemas.openxmlformats.org/officeDocument/2006/relationships" name="Price Simulator" sheetId="4" r:id="Rc134e4b0208c4981"/>
    <x:sheet xmlns:r="http://schemas.openxmlformats.org/officeDocument/2006/relationships" name="Decision Memo" sheetId="5" r:id="Re39f509b15364581"/>
  </x:sheets>
  <x:pivotCaches>
    <x:pivotCache xmlns:r="http://schemas.openxmlformats.org/officeDocument/2006/relationships" cacheId="17" r:id="Ra8be7cb0e3234bd8"/>
    <x:pivotCache xmlns:r="http://schemas.openxmlformats.org/officeDocument/2006/relationships" cacheId="16" r:id="R1899b2345a3a494e"/>
  </x:pivotCaches>
</x:workbook>
</file>

<file path=xl/sharedStrings.xml><?xml version="1.0" encoding="utf-8"?>
<x:sst xmlns:x="http://schemas.openxmlformats.org/spreadsheetml/2006/main">
  <x:si>
    <x:t xml:space="preserve">Built an Excel case study using synthetic holiday-booking data to analyse destination demand, seat utilisation, booking momentum and price competitiveness. Developed KPI dashboards, formula-based segment summaries and a pricing-sensitivity model to support commercial recommendations.</x:t>
  </x:si>
  <x:si>
    <x:t xml:space="preserve">DESTINATION YIELD  |  COMMERCIAL DASHBOARD</x:t>
  </x:si>
  <x:si>
    <x:t xml:space="preserve">Synthetic booking snapshot • 10 October 2026 • Figures are illustrative, not real TUI performance</x:t>
  </x:si>
  <x:si>
    <x:t xml:space="preserve">Seats sold</x:t>
  </x:si>
  <x:si>
    <x:t xml:space="preserve">Seat capacity</x:t>
  </x:si>
  <x:si>
    <x:t xml:space="preserve">Overall load factor</x:t>
  </x:si>
  <x:si>
    <x:t xml:space="preserve">Booked revenue</x:t>
  </x:si>
  <x:si>
    <x:t xml:space="preserve">Booked contribution</x:t>
  </x:si>
  <x:si>
    <x:t xml:space="preserve">Review flags</x:t>
  </x:si>
  <x:si>
    <x:t xml:space="preserve">DESTINATION PERFORMANCE</x:t>
  </x:si>
  <x:si>
    <x:t xml:space="preserve">Destination</x:t>
  </x:si>
  <x:si>
    <x:t xml:space="preserve">Capacity</x:t>
  </x:si>
  <x:si>
    <x:t xml:space="preserve">Load factor</x:t>
  </x:si>
  <x:si>
    <x:t xml:space="preserve">Contribution</x:t>
  </x:si>
  <x:si>
    <x:t xml:space="preserve">Recent bookings</x:t>
  </x:si>
  <x:si>
    <x:t xml:space="preserve">Previous bookings</x:t>
  </x:si>
  <x:si>
    <x:t xml:space="preserve">Pace change</x:t>
  </x:si>
  <x:si>
    <x:t xml:space="preserve">Tenerife</x:t>
  </x:si>
  <x:si>
    <x:t xml:space="preserve">Malaga</x:t>
  </x:si>
  <x:si>
    <x:t xml:space="preserve">Lisbon</x:t>
  </x:si>
  <x:si>
    <x:t xml:space="preserve">Antalya</x:t>
  </x:si>
  <x:si>
    <x:t xml:space="preserve">Rome</x:t>
  </x:si>
  <x:si>
    <x:t xml:space="preserve">Marrakech</x:t>
  </x:si>
  <x:si>
    <x:t xml:space="preserve">DEPARTURE-WEEK TREND</x:t>
  </x:si>
  <x:si>
    <x:t xml:space="preserve">Departure week</x:t>
  </x:si>
  <x:si>
    <x:t xml:space="preserve">Details for Sum of Seats sold</x:t>
  </x:si>
  <x:si>
    <x:t xml:space="preserve">Departure</x:t>
  </x:si>
  <x:si>
    <x:t xml:space="preserve">Region</x:t>
  </x:si>
  <x:si>
    <x:t xml:space="preserve">Days to depart</x:t>
  </x:si>
  <x:si>
    <x:t xml:space="preserve">Last 7d bookings</x:t>
  </x:si>
  <x:si>
    <x:t xml:space="preserve">Prior 7d bookings</x:t>
  </x:si>
  <x:si>
    <x:t xml:space="preserve">Package price (£)</x:t>
  </x:si>
  <x:si>
    <x:t xml:space="preserve">Var. cost (£)</x:t>
  </x:si>
  <x:si>
    <x:t xml:space="preserve">Competitor (£)</x:t>
  </x:si>
  <x:si>
    <x:t xml:space="preserve">Seats remaining</x:t>
  </x:si>
  <x:si>
    <x:t xml:space="preserve">Booking momentum</x:t>
  </x:si>
  <x:si>
    <x:t xml:space="preserve">Booked revenue (£)</x:t>
  </x:si>
  <x:si>
    <x:t xml:space="preserve">Booked contribution (£)</x:t>
  </x:si>
  <x:si>
    <x:t xml:space="preserve">Price vs market</x:t>
  </x:si>
  <x:si>
    <x:t xml:space="preserve">Review signal</x:t>
  </x:si>
  <x:si>
    <x:t xml:space="preserve">Türkiye</x:t>
  </x:si>
  <x:si>
    <x:t xml:space="preserve">Hold / monitor</x:t>
  </x:si>
  <x:si>
    <x:t xml:space="preserve">Review increase</x:t>
  </x:si>
  <x:si>
    <x:t xml:space="preserve">Portugal</x:t>
  </x:si>
  <x:si>
    <x:t xml:space="preserve">Spain</x:t>
  </x:si>
  <x:si>
    <x:t xml:space="preserve">Review decrease</x:t>
  </x:si>
  <x:si>
    <x:t xml:space="preserve">Morocco</x:t>
  </x:si>
  <x:si>
    <x:t xml:space="preserve">Italy</x:t>
  </x:si>
  <x:si>
    <x:t xml:space="preserve">Canaries</x:t>
  </x:si>
  <x:si>
    <x:t xml:space="preserve">Sum of Last 7d bookings</x:t>
  </x:si>
  <x:si>
    <x:t xml:space="preserve">Sum of Prior 7d bookings</x:t>
  </x:si>
  <x:si>
    <x:t xml:space="preserve">Booking Growth</x:t>
  </x:si>
  <x:si>
    <x:t xml:space="preserve">Grand Total</x:t>
  </x:si>
  <x:si>
    <x:t xml:space="preserve">Sum of Seat capacity</x:t>
  </x:si>
  <x:si>
    <x:t xml:space="preserve">Sum of Booked revenue (£)</x:t>
  </x:si>
  <x:si>
    <x:t xml:space="preserve">Sum of Seats sold</x:t>
  </x:si>
  <x:si>
    <x:t xml:space="preserve">Load Factor</x:t>
  </x:si>
  <x:si>
    <x:t xml:space="preserve">Review Signal</x:t>
  </x:si>
  <x:si>
    <x:t xml:space="preserve">Seats Remaining</x:t>
  </x:si>
  <x:si>
    <x:t xml:space="preserve">Price Vs Market</x:t>
  </x:si>
  <x:si>
    <x:t xml:space="preserve">Original Price</x:t>
  </x:si>
  <x:si>
    <x:t xml:space="preserve">5% Discount</x:t>
  </x:si>
  <x:si>
    <x:t xml:space="preserve">Average of Package price (£)</x:t>
  </x:si>
  <x:si>
    <x:t xml:space="preserve">Average of Competitor (£)</x:t>
  </x:si>
  <x:si>
    <x:t xml:space="preserve">Price vs Market (%)</x:t>
  </x:si>
  <x:si>
    <x:t xml:space="preserve">BOOKING SNAPSHOT  |  SYNTHETIC DATA</x:t>
  </x:si>
  <x:si>
    <x:t xml:space="preserve">Snapshot: 10 Oct 2026  •  6 destinations × 12 departure weeks  •  Blue columns = assumed inputs; calculated metrics to the right</x:t>
  </x:si>
  <x:si>
    <x:t xml:space="preserve">PRICE SENSITIVITY  |  SEVEN-DAY SCENARIO</x:t>
  </x:si>
  <x:si>
    <x:t xml:space="preserve">One sample Tenerife departure • impact is modelled, not forecasted from observed price experiments</x:t>
  </x:si>
  <x:si>
    <x:t xml:space="preserve">BASELINE INPUTS</x:t>
  </x:si>
  <x:si>
    <x:t xml:space="preserve">Change the yellow elasticity input to explore assumptions. Formula: projected bookings = MIN(remaining seats, MAX(0, prior seven-day bookings × [1 + elasticity × price change])). In reality, estimate elasticity using real data.</x:t>
  </x:si>
  <x:si>
    <x:t xml:space="preserve">Departure date</x:t>
  </x:si>
  <x:si>
    <x:t xml:space="preserve">Current package price</x:t>
  </x:si>
  <x:si>
    <x:t xml:space="preserve">Assumed variable cost</x:t>
  </x:si>
  <x:si>
    <x:t xml:space="preserve">Bookings in last 7d</x:t>
  </x:si>
  <x:si>
    <x:t xml:space="preserve">Competitor price</x:t>
  </x:si>
  <x:si>
    <x:t xml:space="preserve">Assumed price elasticity</x:t>
  </x:si>
  <x:si>
    <x:t xml:space="preserve">SCENARIO COMPARISON</x:t>
  </x:si>
  <x:si>
    <x:t xml:space="preserve">Price change</x:t>
  </x:si>
  <x:si>
    <x:t xml:space="preserve">New price (£)</x:t>
  </x:si>
  <x:si>
    <x:t xml:space="preserve">Modelled bookings</x:t>
  </x:si>
  <x:si>
    <x:t xml:space="preserve">7-day revenue (£)</x:t>
  </x:si>
  <x:si>
    <x:t xml:space="preserve">7-day contribution (£)</x:t>
  </x:si>
  <x:si>
    <x:t xml:space="preserve">Contribution vs hold</x:t>
  </x:si>
  <x:si>
    <x:t xml:space="preserve">Price vs competitor</x:t>
  </x:si>
  <x:si>
    <x:t xml:space="preserve">Interpretation</x:t>
  </x:si>
  <x:si>
    <x:t xml:space="preserve">Demand could rise, price falls</x:t>
  </x:si>
  <x:si>
    <x:t xml:space="preserve">Hold benchmark</x:t>
  </x:si>
  <x:si>
    <x:t xml:space="preserve">Demand could fall, price rises</x:t>
  </x:si>
  <x:si>
    <x:t xml:space="preserve">Analyst judgement: A higher projected short-term contribution is NOT enough to justify a change. Check competitor availability, event-driven demand, conversion, capacity, days to departure, customer fairness and confidence in the demand response assumption. Avoid using fictional estimates as real price advice.</x:t>
  </x:si>
  <x:si>
    <x:t xml:space="preserve">7-day momentum</x:t>
  </x:si>
  <x:si>
    <x:t xml:space="preserve">Analyst action</x:t>
  </x:si>
  <x:si>
    <x:t xml:space="preserve">Review small increase; underpriced vs competitor, but test conversion.</x:t>
  </x:si>
  <x:si>
    <x:t xml:space="preserve">Review carefully; near departure may favour certainty of filling seats.</x:t>
  </x:si>
  <x:si>
    <x:t xml:space="preserve">Investigate weak occupancy before any discount; current price already under competitor.</x:t>
  </x:si>
  <x:si>
    <x:t xml:space="preserve">WHAT I WOULD CHECK BEFORE ACTING</x:t>
  </x:si>
  <x:si>
    <x:t xml:space="preserve">1  |  Demand</x:t>
  </x:si>
  <x:si>
    <x:t xml:space="preserve">Is booking momentum seasonally normal for this departure window?</x:t>
  </x:si>
  <x:si>
    <x:t xml:space="preserve">2  |  Market</x:t>
  </x:si>
  <x:si>
    <x:t xml:space="preserve">Are competitor prices genuinely comparable (flight date, hotel, baggage, board basis)?</x:t>
  </x:si>
  <x:si>
    <x:t xml:space="preserve">3  |  Capacity</x:t>
  </x:si>
  <x:si>
    <x:t xml:space="preserve">How many seats AND hotel rooms are left, and what restrictions apply?</x:t>
  </x:si>
  <x:si>
    <x:t xml:space="preserve">4  |  Experiment</x:t>
  </x:si>
  <x:si>
    <x:t xml:space="preserve">Test a small change with controls; monitor conversion, contribution and sold capacity.</x:t>
  </x:si>
</x:sst>
</file>

<file path=xl/styles.xml><?xml version="1.0" encoding="utf-8"?>
<x:styleSheet xmlns:x="http://schemas.openxmlformats.org/spreadsheetml/2006/main">
  <x:numFmts count="10">
    <x:numFmt numFmtId="164" formatCode="dd\ mmm\ yyyy"/>
    <x:numFmt numFmtId="165" formatCode="0.0%"/>
    <x:numFmt numFmtId="168" formatCode="dd\ mmm"/>
    <x:numFmt numFmtId="169" formatCode="0.0"/>
    <x:numFmt numFmtId="170" formatCode="&quot;£&quot;#,##0"/>
    <x:numFmt numFmtId="200" formatCode="+0.00%;-0.00%;0.00%"/>
    <x:numFmt numFmtId="201" formatCode="#,##0"/>
    <x:numFmt numFmtId="202" formatCode="£#,##0"/>
    <x:numFmt numFmtId="203" formatCode="£#,##0;[Red]-£#,##0"/>
    <x:numFmt numFmtId="204" formatCode="£#,##0.00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2364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22364A"/>
      <x:name val="Carlito"/>
    </x:font>
    <x:font>
      <x:b/>
      <x:sz val="11"/>
      <x:color rgb="FF22364A"/>
      <x:name val="Carlito"/>
    </x:font>
    <x:font>
      <x:b/>
      <x:sz val="13"/>
      <x:color rgb="FF1574AD"/>
      <x:name val="Carlito"/>
    </x:font>
    <x:font>
      <x:sz val="11"/>
      <x:name val="Carlito"/>
    </x:font>
    <x:font>
      <x:b/>
      <x:sz val="11"/>
      <x:color theme="1"/>
      <x:name val="Carlito"/>
    </x:font>
    <x:font>
      <x:b/>
      <x:sz val="11"/>
      <x:color theme="0"/>
      <x:name val="Carlito"/>
    </x:font>
    <x:font>
      <x:b/>
      <x:sz val="17"/>
      <x:color rgb="FFFFFFFF"/>
      <x:name val="Carlito"/>
    </x:font>
    <x:font>
      <x:sz val="10"/>
      <x:color rgb="FF526276"/>
      <x:name val="Carlito"/>
    </x:font>
    <x:font>
      <x:b/>
      <x:sz val="10"/>
      <x:color rgb="FFFFFFFF"/>
      <x:name val="Carlito"/>
    </x:font>
    <x:font>
      <x:sz val="11"/>
      <x:color rgb="FF132E4A"/>
      <x:name val="Carlito"/>
    </x:font>
    <x:font>
      <x:b/>
      <x:sz val="11"/>
      <x:color rgb="FF132E4A"/>
      <x:name val="Carlito"/>
    </x:font>
    <x:font>
      <x:b/>
      <x:sz val="11"/>
      <x:color rgb="FF087C56"/>
      <x:name val="Carlito"/>
    </x:font>
    <x:font>
      <x:sz val="9"/>
      <x:color rgb="FF526276"/>
      <x:name val="Carlito"/>
    </x:font>
    <x:font>
      <x:b/>
      <x:sz val="10"/>
      <x:color rgb="FF132E4A"/>
      <x:name val="Carlito"/>
    </x:font>
    <x:font>
      <x:sz val="10"/>
      <x:color rgb="FF132E4A"/>
      <x:name val="Carlito"/>
    </x:font>
    <x:font>
      <x:sz val="11"/>
      <x:color rgb="FFFFFFFF"/>
      <x:name val="Carlito"/>
    </x:font>
    <x:font>
      <x:sz val="11"/>
      <x:color rgb="FF526276"/>
      <x:name val="Carlito"/>
    </x:font>
    <x:font>
      <x:b/>
      <x:sz val="14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4283D"/>
      </x:patternFill>
    </x:fill>
    <x:fill>
      <x:patternFill patternType="solid">
        <x:fgColor rgb="FF1574AD"/>
      </x:patternFill>
    </x:fill>
    <x:fill>
      <x:patternFill patternType="solid">
        <x:fgColor rgb="FFDCEFF8"/>
      </x:patternFill>
    </x:fill>
    <x:fill>
      <x:patternFill patternType="solid">
        <x:fgColor rgb="FFF1F6FA"/>
      </x:patternFill>
    </x:fill>
    <x:fill>
      <x:patternFill patternType="solid">
        <x:fgColor rgb="FFE5F2FA"/>
      </x:patternFill>
    </x:fill>
    <x:fill>
      <x:patternFill patternType="solid">
        <x:fgColor rgb="FFD4E9F4"/>
      </x:patternFill>
    </x:fill>
    <x:fill>
      <x:patternFill patternType="solid">
        <x:fgColor rgb="FFFFF0C0"/>
      </x:patternFill>
    </x:fill>
    <x:fill>
      <x:patternFill patternType="solid">
        <x:fgColor rgb="FFDBF3E5"/>
      </x:patternFill>
    </x:fill>
    <x:fill>
      <x:patternFill patternType="solid">
        <x:fgColor rgb="FFFEF0D8"/>
      </x:patternFill>
    </x:fill>
    <x:fill>
      <x:patternFill patternType="solid">
        <x:fgColor theme="4" tint="0.79998"/>
      </x:patternFill>
    </x:fill>
    <x:fill>
      <x:patternFill patternType="solid">
        <x:fgColor theme="3"/>
      </x:patternFill>
    </x:fill>
    <x:fill>
      <x:patternFill patternType="solid">
        <x:fgColor rgb="FF132E4A"/>
      </x:patternFill>
    </x:fill>
    <x:fill>
      <x:patternFill patternType="solid">
        <x:fgColor rgb="FFF2F6FA"/>
      </x:patternFill>
    </x:fill>
    <x:fill>
      <x:patternFill patternType="solid">
        <x:fgColor rgb="FF1B4262"/>
      </x:patternFill>
    </x:fill>
    <x:fill>
      <x:patternFill patternType="solid">
        <x:fgColor rgb="FFFFFFFF"/>
      </x:patternFill>
    </x:fill>
    <x:fill>
      <x:patternFill patternType="solid">
        <x:fgColor rgb="FFE4F4EE"/>
      </x:patternFill>
    </x:fill>
  </x:fills>
  <x:borders count="4">
    <x:border/>
    <x:border>
      <x:bottom style="thin">
        <x:color theme="4" tint="0.39998"/>
      </x:bottom>
    </x:border>
    <x:border/>
    <x:border>
      <x:bottom style="thin">
        <x:color theme="4" tint="0.39998"/>
      </x:bottom>
    </x:border>
  </x:borders>
  <x:cellStyleXfs count="2">
    <x:xf numFmtId="0" fontId="0" fillId="0" borderId="0"/>
    <x:xf numFmtId="9" fontId="8" fillId="0" borderId="0" applyFont="0" applyFill="0" applyBorder="0" applyAlignment="0" applyProtection="0"/>
  </x:cellStyleXfs>
  <x:cellXfs count="203">
    <x:xf numFmtId="0" fontId="0" fillId="0" borderId="0" xfId="0"/>
    <x:xf numFmtId="0" fontId="3" fillId="3" borderId="0" xfId="0" applyFont="1" applyFill="1" applyAlignment="1">
      <x:alignment vertical="center"/>
    </x:xf>
    <x:xf numFmtId="0" fontId="0" fillId="0" borderId="0" xfId="0" applyAlignment="1">
      <x:alignment wrapText="1"/>
    </x:xf>
    <x:xf numFmtId="0" fontId="4" fillId="0" borderId="0" xfId="0" applyFont="1"/>
    <x:xf numFmtId="164" fontId="0" fillId="0" borderId="0" xfId="0" applyNumberFormat="1"/>
    <x:xf numFmtId="165" fontId="0" fillId="0" borderId="0" xfId="0" applyNumberFormat="1"/>
    <x:xf numFmtId="0" fontId="6" fillId="5" borderId="0" xfId="0" applyFont="1" applyFill="1"/>
    <x:xf numFmtId="3" fontId="7" fillId="6" borderId="0" xfId="0" applyNumberFormat="1" applyFont="1" applyFill="1"/>
    <x:xf numFmtId="165" fontId="7" fillId="6" borderId="0" xfId="0" applyNumberFormat="1" applyFont="1" applyFill="1"/>
    <x:xf numFmtId="1" fontId="7" fillId="6" borderId="0" xfId="0" applyNumberFormat="1" applyFont="1" applyFill="1"/>
    <x:xf numFmtId="0" fontId="6" fillId="7" borderId="0" xfId="0" applyFont="1" applyFill="1"/>
    <x:xf numFmtId="0" fontId="6" fillId="7" borderId="0" xfId="0" applyFont="1" applyFill="1" applyAlignment="1">
      <x:alignment wrapText="1"/>
    </x:xf>
    <x:xf numFmtId="168" fontId="0" fillId="0" borderId="0" xfId="0" applyNumberFormat="1"/>
    <x:xf numFmtId="0" fontId="6" fillId="8" borderId="0" xfId="0" applyFont="1" applyFill="1"/>
    <x:xf numFmtId="9" fontId="0" fillId="0" borderId="0" xfId="0" applyNumberFormat="1"/>
    <x:xf numFmtId="169" fontId="0" fillId="0" borderId="0" xfId="0" applyNumberFormat="1"/>
    <x:xf numFmtId="9" fontId="0" fillId="9" borderId="0" xfId="0" applyNumberFormat="1" applyFill="1"/>
    <x:xf numFmtId="169" fontId="0" fillId="9" borderId="0" xfId="0" applyNumberFormat="1" applyFill="1"/>
    <x:xf numFmtId="165" fontId="0" fillId="9" borderId="0" xfId="0" applyNumberFormat="1" applyFill="1"/>
    <x:xf numFmtId="0" fontId="0" fillId="9" borderId="0" xfId="0" applyFill="1"/>
    <x:xf numFmtId="170" fontId="7" fillId="6" borderId="0" xfId="0" applyNumberFormat="1" applyFont="1" applyFill="1"/>
    <x:xf numFmtId="170" fontId="0" fillId="0" borderId="0" xfId="0" applyNumberFormat="1"/>
    <x:xf numFmtId="170" fontId="0" fillId="9" borderId="0" xfId="0" applyNumberFormat="1" applyFill="1"/>
    <x:xf numFmtId="0" fontId="1" fillId="2" borderId="0" xfId="0" applyFont="1" applyFill="1" applyAlignment="1">
      <x:alignment vertical="center"/>
    </x:xf>
    <x:xf numFmtId="0" fontId="2" fillId="0" borderId="0" xfId="0" applyFont="1"/>
    <x:xf numFmtId="0" fontId="0" fillId="0" borderId="0" xfId="0" applyAlignment="1">
      <x:alignment wrapText="1"/>
    </x:xf>
    <x:xf numFmtId="0" fontId="0" fillId="0" borderId="0" xfId="0"/>
    <x:xf numFmtId="0" fontId="5" fillId="4" borderId="0" xfId="0" applyFont="1" applyFill="1"/>
    <x:xf numFmtId="0" fontId="2" fillId="4" borderId="0" xfId="0" applyFont="1" applyFill="1"/>
    <x:xf numFmtId="0" fontId="0" fillId="5" borderId="0" xfId="0" applyFill="1" applyAlignment="1">
      <x:alignment vertical="center" wrapText="1"/>
    </x:xf>
    <x:xf numFmtId="0" fontId="0" fillId="10" borderId="0" xfId="0" applyFill="1" applyAlignment="1">
      <x:alignment vertical="center" wrapText="1"/>
    </x:xf>
    <x:xf numFmtId="0" fontId="0" fillId="5" borderId="0" xfId="0" applyFill="1" applyAlignment="1">
      <x:alignment wrapText="1"/>
    </x:xf>
    <x:xf numFmtId="0" fontId="2" fillId="10" borderId="0" xfId="0" applyFont="1" applyFill="1" applyAlignment="1">
      <x:alignment wrapText="1"/>
    </x:xf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NumberFormat="1"/>
    <x:xf numFmtId="0" fontId="9" fillId="11" borderId="1" xfId="0" applyFont="1" applyFill="1" applyBorder="1"/>
    <x:xf numFmtId="14" fontId="0" fillId="0" borderId="0" xfId="0" applyNumberFormat="1"/>
    <x:xf numFmtId="9" fontId="0" fillId="0" borderId="0" xfId="1" applyFont="1"/>
    <x:xf numFmtId="165" fontId="0" fillId="0" borderId="0" xfId="1" applyNumberFormat="1" applyFont="1"/>
    <x:xf numFmtId="10" fontId="0" fillId="0" borderId="0" xfId="1" applyNumberFormat="1" applyFont="1"/>
    <x:xf numFmtId="0" fontId="10" fillId="12" borderId="0" xfId="0" applyFont="1" applyFill="1"/>
    <x:xf numFmtId="0" fontId="4" fillId="0" borderId="0" xfId="0" applyFont="1" applyAlignment="1">
      <x:alignment horizontal="center"/>
    </x:xf>
    <x:xf numFmtId="0" fontId="0" fillId="0" borderId="2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164" fontId="0" fillId="0" borderId="2" xfId="0" applyNumberFormat="1" applyFont="1" applyFill="1" applyBorder="1"/>
    <x:xf numFmtId="165" fontId="0" fillId="0" borderId="2" xfId="0" applyNumberFormat="1" applyFont="1" applyFill="1" applyBorder="1"/>
    <x:xf numFmtId="0" fontId="6" fillId="5" borderId="2" xfId="0" applyNumberFormat="1" applyFont="1" applyFill="1" applyBorder="1"/>
    <x:xf numFmtId="3" fontId="7" fillId="6" borderId="2" xfId="0" applyNumberFormat="1" applyFont="1" applyFill="1" applyBorder="1"/>
    <x:xf numFmtId="165" fontId="7" fillId="6" borderId="2" xfId="0" applyNumberFormat="1" applyFont="1" applyFill="1" applyBorder="1"/>
    <x:xf numFmtId="1" fontId="7" fillId="6" borderId="2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168" fontId="0" fillId="0" borderId="2" xfId="0" applyNumberFormat="1" applyFont="1" applyFill="1" applyBorder="1"/>
    <x:xf numFmtId="0" fontId="6" fillId="8" borderId="2" xfId="0" applyNumberFormat="1" applyFont="1" applyFill="1" applyBorder="1"/>
    <x:xf numFmtId="9" fontId="0" fillId="0" borderId="2" xfId="0" applyNumberFormat="1" applyFont="1" applyFill="1" applyBorder="1"/>
    <x:xf numFmtId="169" fontId="0" fillId="0" borderId="2" xfId="0" applyNumberFormat="1" applyFont="1" applyFill="1" applyBorder="1"/>
    <x:xf numFmtId="9" fontId="0" fillId="9" borderId="2" xfId="0" applyNumberFormat="1" applyFont="1" applyFill="1" applyBorder="1"/>
    <x:xf numFmtId="169" fontId="0" fillId="9" borderId="2" xfId="0" applyNumberFormat="1" applyFont="1" applyFill="1" applyBorder="1"/>
    <x:xf numFmtId="165" fontId="0" fillId="9" borderId="2" xfId="0" applyNumberFormat="1" applyFont="1" applyFill="1" applyBorder="1"/>
    <x:xf numFmtId="0" fontId="0" fillId="9" borderId="2" xfId="0" applyNumberFormat="1" applyFont="1" applyFill="1" applyBorder="1"/>
    <x:xf numFmtId="170" fontId="7" fillId="6" borderId="2" xfId="0" applyNumberFormat="1" applyFont="1" applyFill="1" applyBorder="1"/>
    <x:xf numFmtId="170" fontId="0" fillId="0" borderId="2" xfId="0" applyNumberFormat="1" applyFont="1" applyFill="1" applyBorder="1"/>
    <x:xf numFmtId="170" fontId="0" fillId="9" borderId="2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/>
    <x:xf numFmtId="0" fontId="5" fillId="4" borderId="2" xfId="0" applyNumberFormat="1" applyFont="1" applyFill="1" applyBorder="1"/>
    <x:xf numFmtId="0" fontId="2" fillId="4" borderId="2" xfId="0" applyNumberFormat="1" applyFont="1" applyFill="1" applyBorder="1"/>
    <x:xf numFmtId="0" fontId="0" fillId="5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/>
    </x:xf>
    <x:xf numFmtId="0" fontId="9" fillId="11" borderId="3" xfId="0" applyNumberFormat="1" applyFont="1" applyFill="1" applyBorder="1"/>
    <x:xf numFmtId="14" fontId="0" fillId="0" borderId="2" xfId="0" applyNumberFormat="1" applyFont="1" applyFill="1" applyBorder="1"/>
    <x:xf numFmtId="10" fontId="0" fillId="0" borderId="2" xfId="0" applyNumberFormat="1" applyFont="1" applyFill="1" applyBorder="1"/>
    <x:xf numFmtId="0" fontId="10" fillId="12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13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 applyAlignment="1">
      <x:alignment vertical="center"/>
    </x:xf>
    <x:xf numFmtId="0" fontId="4" fillId="13" borderId="2" xfId="0" applyNumberFormat="1" applyFont="1" applyFill="1" applyBorder="1" applyAlignment="1">
      <x:alignment horizontal="center"/>
    </x:xf>
    <x:xf numFmtId="0" fontId="0" fillId="13" borderId="2" xfId="0" applyNumberFormat="1" applyFont="1" applyFill="1" applyBorder="1"/>
    <x:xf numFmtId="0" fontId="11" fillId="13" borderId="2" xfId="0" applyNumberFormat="1" applyFont="1" applyFill="1" applyBorder="1" applyAlignment="1">
      <x:alignment horizontal="center"/>
    </x:xf>
    <x:xf numFmtId="0" fontId="11" fillId="13" borderId="2" xfId="0" applyNumberFormat="1" applyFont="1" applyFill="1" applyBorder="1"/>
    <x:xf numFmtId="0" fontId="11" fillId="13" borderId="2" xfId="0" applyNumberFormat="1" applyFont="1" applyFill="1" applyBorder="1" applyAlignment="1">
      <x:alignment horizontal="center" vertical="center"/>
    </x:xf>
    <x:xf numFmtId="0" fontId="11" fillId="13" borderId="2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vertical="center"/>
    </x:xf>
    <x:xf numFmtId="0" fontId="0" fillId="14" borderId="2" xfId="0" applyNumberFormat="1" applyFont="1" applyFill="1" applyBorder="1"/>
    <x:xf numFmtId="0" fontId="12" fillId="14" borderId="2" xfId="0" applyNumberFormat="1" applyFont="1" applyFill="1" applyBorder="1"/>
    <x:xf numFmtId="0" fontId="12" fillId="14" borderId="2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vertical="center"/>
    </x:xf>
    <x:xf numFmtId="0" fontId="10" fillId="15" borderId="2" xfId="0" applyNumberFormat="1" applyFont="1" applyFill="1" applyBorder="1"/>
    <x:xf numFmtId="0" fontId="13" fillId="15" borderId="2" xfId="0" applyNumberFormat="1" applyFont="1" applyFill="1" applyBorder="1"/>
    <x:xf numFmtId="0" fontId="13" fillId="15" borderId="2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165" fontId="0" fillId="16" borderId="0" xfId="0" applyNumberFormat="1" applyFont="1" applyFill="1" applyBorder="1"/>
    <x:xf numFmtId="10" fontId="0" fillId="16" borderId="0" xfId="0" applyNumberFormat="1" applyFont="1" applyFill="1" applyBorder="1"/>
    <x:xf numFmtId="0" fontId="0" fillId="16" borderId="2" xfId="0" applyNumberFormat="1" applyFont="1" applyFill="1" applyBorder="1"/>
    <x:xf numFmtId="165" fontId="0" fillId="16" borderId="2" xfId="0" applyNumberFormat="1" applyFont="1" applyFill="1" applyBorder="1"/>
    <x:xf numFmtId="10" fontId="0" fillId="16" borderId="2" xfId="0" applyNumberFormat="1" applyFont="1" applyFill="1" applyBorder="1"/>
    <x:xf numFmtId="165" fontId="0" fillId="14" borderId="0" xfId="0" applyNumberFormat="1" applyFont="1" applyFill="1" applyBorder="1"/>
    <x:xf numFmtId="10" fontId="0" fillId="14" borderId="0" xfId="0" applyNumberFormat="1" applyFont="1" applyFill="1" applyBorder="1"/>
    <x:xf numFmtId="165" fontId="0" fillId="14" borderId="2" xfId="0" applyNumberFormat="1" applyFont="1" applyFill="1" applyBorder="1"/>
    <x:xf numFmtId="10" fontId="0" fillId="14" borderId="2" xfId="0" applyNumberFormat="1" applyFont="1" applyFill="1" applyBorder="1"/>
    <x:xf numFmtId="0" fontId="14" fillId="16" borderId="0" xfId="0" applyNumberFormat="1" applyFont="1" applyFill="1" applyBorder="1"/>
    <x:xf numFmtId="0" fontId="14" fillId="14" borderId="0" xfId="0" applyNumberFormat="1" applyFont="1" applyFill="1" applyBorder="1"/>
    <x:xf numFmtId="0" fontId="14" fillId="16" borderId="2" xfId="0" applyNumberFormat="1" applyFont="1" applyFill="1" applyBorder="1"/>
    <x:xf numFmtId="0" fontId="14" fillId="14" borderId="2" xfId="0" applyNumberFormat="1" applyFont="1" applyFill="1" applyBorder="1"/>
    <x:xf numFmtId="0" fontId="15" fillId="16" borderId="0" xfId="0" applyNumberFormat="1" applyFont="1" applyFill="1" applyBorder="1"/>
    <x:xf numFmtId="0" fontId="15" fillId="14" borderId="0" xfId="0" applyNumberFormat="1" applyFont="1" applyFill="1" applyBorder="1"/>
    <x:xf numFmtId="0" fontId="15" fillId="16" borderId="2" xfId="0" applyNumberFormat="1" applyFont="1" applyFill="1" applyBorder="1"/>
    <x:xf numFmtId="0" fontId="15" fillId="14" borderId="2" xfId="0" applyNumberFormat="1" applyFont="1" applyFill="1" applyBorder="1"/>
    <x:xf numFmtId="200" fontId="0" fillId="16" borderId="0" xfId="0" applyNumberFormat="1" applyFont="1" applyFill="1" applyBorder="1"/>
    <x:xf numFmtId="200" fontId="0" fillId="14" borderId="0" xfId="0" applyNumberFormat="1" applyFont="1" applyFill="1" applyBorder="1"/>
    <x:xf numFmtId="200" fontId="0" fillId="16" borderId="2" xfId="0" applyNumberFormat="1" applyFont="1" applyFill="1" applyBorder="1"/>
    <x:xf numFmtId="200" fontId="0" fillId="14" borderId="2" xfId="0" applyNumberFormat="1" applyFont="1" applyFill="1" applyBorder="1"/>
    <x:xf numFmtId="201" fontId="0" fillId="16" borderId="0" xfId="0" applyNumberFormat="1" applyFont="1" applyFill="1" applyBorder="1"/>
    <x:xf numFmtId="201" fontId="0" fillId="14" borderId="0" xfId="0" applyNumberFormat="1" applyFont="1" applyFill="1" applyBorder="1"/>
    <x:xf numFmtId="201" fontId="0" fillId="16" borderId="2" xfId="0" applyNumberFormat="1" applyFont="1" applyFill="1" applyBorder="1"/>
    <x:xf numFmtId="201" fontId="0" fillId="14" borderId="2" xfId="0" applyNumberFormat="1" applyFont="1" applyFill="1" applyBorder="1"/>
    <x:xf numFmtId="0" fontId="0" fillId="17" borderId="0" xfId="0" applyNumberFormat="1" applyFont="1" applyFill="1" applyBorder="1"/>
    <x:xf numFmtId="0" fontId="0" fillId="17" borderId="2" xfId="0" applyNumberFormat="1" applyFont="1" applyFill="1" applyBorder="1"/>
    <x:xf numFmtId="202" fontId="0" fillId="17" borderId="0" xfId="0" applyNumberFormat="1" applyFont="1" applyFill="1" applyBorder="1"/>
    <x:xf numFmtId="202" fontId="0" fillId="14" borderId="0" xfId="0" applyNumberFormat="1" applyFont="1" applyFill="1" applyBorder="1"/>
    <x:xf numFmtId="202" fontId="0" fillId="17" borderId="2" xfId="0" applyNumberFormat="1" applyFont="1" applyFill="1" applyBorder="1"/>
    <x:xf numFmtId="202" fontId="0" fillId="14" borderId="2" xfId="0" applyNumberFormat="1" applyFont="1" applyFill="1" applyBorder="1"/>
    <x:xf numFmtId="202" fontId="4" fillId="17" borderId="0" xfId="0" applyNumberFormat="1" applyFont="1" applyFill="1" applyBorder="1"/>
    <x:xf numFmtId="0" fontId="4" fillId="17" borderId="0" xfId="0" applyNumberFormat="1" applyFont="1" applyFill="1" applyBorder="1"/>
    <x:xf numFmtId="202" fontId="4" fillId="14" borderId="0" xfId="0" applyNumberFormat="1" applyFont="1" applyFill="1" applyBorder="1"/>
    <x:xf numFmtId="0" fontId="4" fillId="14" borderId="0" xfId="0" applyNumberFormat="1" applyFont="1" applyFill="1" applyBorder="1"/>
    <x:xf numFmtId="202" fontId="4" fillId="17" borderId="2" xfId="0" applyNumberFormat="1" applyFont="1" applyFill="1" applyBorder="1"/>
    <x:xf numFmtId="0" fontId="4" fillId="17" borderId="2" xfId="0" applyNumberFormat="1" applyFont="1" applyFill="1" applyBorder="1"/>
    <x:xf numFmtId="202" fontId="4" fillId="14" borderId="2" xfId="0" applyNumberFormat="1" applyFont="1" applyFill="1" applyBorder="1"/>
    <x:xf numFmtId="0" fontId="4" fillId="14" borderId="2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2" xfId="0" applyNumberFormat="1" applyFont="1" applyFill="1" applyBorder="1"/>
    <x:xf numFmtId="0" fontId="3" fillId="15" borderId="2" xfId="0" applyNumberFormat="1" applyFont="1" applyFill="1" applyBorder="1"/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203" fontId="0" fillId="17" borderId="0" xfId="0" applyNumberFormat="1" applyFont="1" applyFill="1" applyBorder="1"/>
    <x:xf numFmtId="203" fontId="16" fillId="17" borderId="0" xfId="0" applyNumberFormat="1" applyFont="1" applyFill="1" applyBorder="1"/>
    <x:xf numFmtId="203" fontId="0" fillId="17" borderId="2" xfId="0" applyNumberFormat="1" applyFont="1" applyFill="1" applyBorder="1"/>
    <x:xf numFmtId="203" fontId="16" fillId="17" borderId="2" xfId="0" applyNumberFormat="1" applyFont="1" applyFill="1" applyBorder="1"/>
    <x:xf numFmtId="0" fontId="17" fillId="16" borderId="0" xfId="0" applyNumberFormat="1" applyFont="1" applyFill="1" applyBorder="1"/>
    <x:xf numFmtId="0" fontId="17" fillId="16" borderId="2" xfId="0" applyNumberFormat="1" applyFont="1" applyFill="1" applyBorder="1"/>
    <x:xf numFmtId="0" fontId="10" fillId="16" borderId="0" xfId="0" applyNumberFormat="1" applyFont="1" applyFill="1" applyBorder="1"/>
    <x:xf numFmtId="0" fontId="18" fillId="16" borderId="0" xfId="0" applyNumberFormat="1" applyFont="1" applyFill="1" applyBorder="1"/>
    <x:xf numFmtId="0" fontId="19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19" fillId="16" borderId="0" xfId="0" applyNumberFormat="1" applyFont="1" applyFill="1" applyBorder="1" applyAlignment="1">
      <x:alignment vertical="center"/>
    </x:xf>
    <x:xf numFmtId="0" fontId="10" fillId="16" borderId="2" xfId="0" applyNumberFormat="1" applyFont="1" applyFill="1" applyBorder="1"/>
    <x:xf numFmtId="0" fontId="18" fillId="16" borderId="2" xfId="0" applyNumberFormat="1" applyFont="1" applyFill="1" applyBorder="1"/>
    <x:xf numFmtId="0" fontId="19" fillId="16" borderId="2" xfId="0" applyNumberFormat="1" applyFont="1" applyFill="1" applyBorder="1"/>
    <x:xf numFmtId="0" fontId="18" fillId="16" borderId="2" xfId="0" applyNumberFormat="1" applyFont="1" applyFill="1" applyBorder="1" applyAlignment="1">
      <x:alignment vertical="center"/>
    </x:xf>
    <x:xf numFmtId="0" fontId="19" fillId="16" borderId="2" xfId="0" applyNumberFormat="1" applyFont="1" applyFill="1" applyBorder="1" applyAlignment="1">
      <x:alignment vertical="center"/>
    </x:xf>
    <x:xf numFmtId="0" fontId="19" fillId="14" borderId="0" xfId="0" applyNumberFormat="1" applyFont="1" applyFill="1" applyBorder="1"/>
    <x:xf numFmtId="0" fontId="19" fillId="14" borderId="0" xfId="0" applyNumberFormat="1" applyFont="1" applyFill="1" applyBorder="1" applyAlignment="1">
      <x:alignment vertical="center"/>
    </x:xf>
    <x:xf numFmtId="0" fontId="19" fillId="14" borderId="2" xfId="0" applyNumberFormat="1" applyFont="1" applyFill="1" applyBorder="1"/>
    <x:xf numFmtId="0" fontId="19" fillId="14" borderId="2" xfId="0" applyNumberFormat="1" applyFont="1" applyFill="1" applyBorder="1" applyAlignment="1">
      <x:alignment vertical="center"/>
    </x:xf>
    <x:xf numFmtId="0" fontId="17" fillId="14" borderId="0" xfId="0" applyNumberFormat="1" applyFont="1" applyFill="1" applyBorder="1"/>
    <x:xf numFmtId="0" fontId="17" fillId="14" borderId="2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1" fillId="13" borderId="2" xfId="0" applyNumberFormat="1" applyFont="1" applyFill="1" applyBorder="1" applyAlignment="1">
      <x:alignment vertical="center"/>
    </x:xf>
    <x:xf numFmtId="0" fontId="3" fillId="15" borderId="0" xfId="0" applyNumberFormat="1" applyFont="1" applyFill="1" applyBorder="1" applyAlignment="1">
      <x:alignment vertical="center"/>
    </x:xf>
    <x:xf numFmtId="0" fontId="3" fillId="15" borderId="2" xfId="0" applyNumberFormat="1" applyFont="1" applyFill="1" applyBorder="1" applyAlignment="1">
      <x:alignment vertical="center"/>
    </x:xf>
    <x:xf numFmtId="0" fontId="20" fillId="15" borderId="0" xfId="0" applyNumberFormat="1" applyFont="1" applyFill="1" applyBorder="1"/>
    <x:xf numFmtId="0" fontId="20" fillId="15" borderId="2" xfId="0" applyNumberFormat="1" applyFont="1" applyFill="1" applyBorder="1"/>
    <x:xf numFmtId="0" fontId="4" fillId="0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2" xfId="0" applyNumberFormat="1" applyFont="1" applyFill="1" applyBorder="1"/>
    <x:xf numFmtId="0" fontId="21" fillId="0" borderId="0" xfId="0" applyNumberFormat="1" applyFont="1" applyFill="1" applyBorder="1"/>
    <x:xf numFmtId="0" fontId="21" fillId="0" borderId="2" xfId="0" applyNumberFormat="1" applyFont="1" applyFill="1" applyBorder="1"/>
    <x:xf numFmtId="0" fontId="22" fillId="13" borderId="0" xfId="0" applyNumberFormat="1" applyFont="1" applyFill="1" applyBorder="1"/>
    <x:xf numFmtId="0" fontId="22" fillId="13" borderId="2" xfId="0" applyNumberFormat="1" applyFont="1" applyFill="1" applyBorder="1"/>
    <x:xf numFmtId="0" fontId="9" fillId="15" borderId="1" xfId="0" applyNumberFormat="1" applyFont="1" applyFill="1" applyBorder="1"/>
    <x:xf numFmtId="0" fontId="13" fillId="15" borderId="1" xfId="0" applyNumberFormat="1" applyFont="1" applyFill="1" applyBorder="1"/>
    <x:xf numFmtId="0" fontId="9" fillId="15" borderId="3" xfId="0" applyNumberFormat="1" applyFont="1" applyFill="1" applyBorder="1"/>
    <x:xf numFmtId="0" fontId="13" fillId="15" borderId="3" xfId="0" applyNumberFormat="1" applyFont="1" applyFill="1" applyBorder="1"/>
    <x:xf numFmtId="0" fontId="3" fillId="15" borderId="1" xfId="0" applyNumberFormat="1" applyFont="1" applyFill="1" applyBorder="1"/>
    <x:xf numFmtId="0" fontId="3" fillId="15" borderId="3" xfId="0" applyNumberFormat="1" applyFont="1" applyFill="1" applyBorder="1"/>
    <x:xf numFmtId="165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4" fontId="0" fillId="0" borderId="0" xfId="0" applyNumberFormat="1" applyFont="1" applyFill="1" applyBorder="1"/>
    <x:xf numFmtId="204" fontId="0" fillId="0" borderId="2" xfId="0" applyNumberFormat="1" applyFont="1" applyFill="1" applyBorder="1"/>
    <x:xf numFmtId="0" fontId="18" fillId="14" borderId="0" xfId="0" applyNumberFormat="1" applyFont="1" applyFill="1" applyBorder="1"/>
    <x:xf numFmtId="0" fontId="18" fillId="14" borderId="2" xfId="0" applyNumberFormat="1" applyFont="1" applyFill="1" applyBorder="1"/>
    <x:xf numFmtId="170" fontId="4" fillId="17" borderId="0" xfId="0" applyNumberFormat="1" applyFont="1" applyFill="1" applyBorder="1"/>
    <x:xf numFmtId="170" fontId="4" fillId="14" borderId="0" xfId="0" applyNumberFormat="1" applyFont="1" applyFill="1" applyBorder="1"/>
    <x:xf numFmtId="170" fontId="4" fillId="17" borderId="2" xfId="0" applyNumberFormat="1" applyFont="1" applyFill="1" applyBorder="1"/>
    <x:xf numFmtId="170" fontId="4" fillId="14" borderId="2" xfId="0" applyNumberFormat="1" applyFont="1" applyFill="1" applyBorder="1"/>
    <x:xf numFmtId="170" fontId="16" fillId="17" borderId="0" xfId="0" applyNumberFormat="1" applyFont="1" applyFill="1" applyBorder="1"/>
  </x:cellXfs>
  <x:cellStyles count="2">
    <x:cellStyle name="Normal" xfId="0"/>
    <x:cellStyle name="Percent" xfId="1"/>
  </x:cellStyles>
  <x:dxfs count="12"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EF0D8"/>
        </x:patternFill>
      </x:fill>
    </x:dxf>
    <x:dxf>
      <x:fill>
        <x:patternFill>
          <x:bgColor rgb="FFDBF3E5"/>
        </x:patternFill>
      </x:fill>
    </x:dxf>
    <x:dxf>
      <x:font>
        <x:color rgb="FFB91C1C"/>
      </x:font>
    </x:dxf>
    <x:dxf>
      <x:numFmt numFmtId="19" formatCode="dd/mm/yyyy"/>
    </x:dxf>
    <x:dxf>
      <x:font>
        <x:b/>
        <x:color rgb="FF8A4B10"/>
      </x:font>
      <x:fill>
        <x:patternFill patternType="solid">
          <x:bgColor rgb="FFFFF1DC"/>
        </x:patternFill>
      </x:fill>
    </x:dxf>
    <x:dxf>
      <x:font>
        <x:color rgb="FF9C4F14"/>
      </x:font>
      <x:fill>
        <x:patternFill patternType="solid">
          <x:bgColor rgb="FFFFF1DC"/>
        </x:patternFill>
      </x:fill>
    </x:dxf>
    <x:dxf>
      <x:font>
        <x:color rgb="FF116A4A"/>
      </x:font>
      <x:fill>
        <x:patternFill patternType="solid">
          <x:bgColor rgb="FFE4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7ab3256574215" /><Relationship Type="http://schemas.openxmlformats.org/officeDocument/2006/relationships/theme" Target="/xl/theme/theme1.xml" Id="Rd645f62227c745a5" /><Relationship Type="http://schemas.openxmlformats.org/officeDocument/2006/relationships/sharedStrings" Target="/xl/sharedStrings.xml" Id="R8dc1e00ee56e4cf2" /><Relationship Type="http://schemas.openxmlformats.org/officeDocument/2006/relationships/pivotCacheDefinition" Target="/pivotCache/pivotCacheDefinition1.xml" Id="Ra8be7cb0e3234bd8" /><Relationship Type="http://schemas.openxmlformats.org/officeDocument/2006/relationships/pivotCacheDefinition" Target="/pivotCache/pivotCacheDefinition2.xml" Id="R1899b2345a3a494e" /><Relationship Type="http://schemas.openxmlformats.org/officeDocument/2006/relationships/worksheet" Target="/xl/worksheets/sheet1.xml" Id="Rf9ca97b4243843ca" /><Relationship Type="http://schemas.openxmlformats.org/officeDocument/2006/relationships/worksheet" Target="/xl/worksheets/sheet2.xml" Id="Ra33beb34fff44cb9" /><Relationship Type="http://schemas.openxmlformats.org/officeDocument/2006/relationships/worksheet" Target="/xl/worksheets/sheet3.xml" Id="R5d2c6874e0dc45e8" /><Relationship Type="http://schemas.openxmlformats.org/officeDocument/2006/relationships/worksheet" Target="/xl/worksheets/sheet4.xml" Id="R382a19f7cfad4343" /><Relationship Type="http://schemas.openxmlformats.org/officeDocument/2006/relationships/worksheet" Target="/xl/worksheets/sheet5.xml" Id="R016d01a1f7af41a9" /><Relationship Type="http://schemas.openxmlformats.org/officeDocument/2006/relationships/worksheet" Target="/xl/worksheets/sheet6.xml" Id="R5c031f45d25d4fc3" /><Relationship Type="http://schemas.openxmlformats.org/officeDocument/2006/relationships/worksheet" Target="/xl/worksheets/sheet7.xml" Id="R50e9f2c4ea944d42" /><Relationship Type="http://schemas.openxmlformats.org/officeDocument/2006/relationships/worksheet" Target="/xl/worksheets/sheet8.xml" Id="R6f5b543707b94fd6" /><Relationship Type="http://schemas.openxmlformats.org/officeDocument/2006/relationships/worksheet" Target="/xl/worksheets/sheet9.xml" Id="Rc134e4b0208c4981" /><Relationship Type="http://schemas.openxmlformats.org/officeDocument/2006/relationships/worksheet" Target="/xl/worksheets/sheet10.xml" Id="Re39f509b153645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a338d3e7df484f" /><Relationship Type="http://schemas.openxmlformats.org/officeDocument/2006/relationships/chart" Target="/xl/drawings/charts/chart2.xml" Id="R68d276bbdad746e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62c4723c3aa4d2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fcc5150862d42e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7248160fda741d6" /><Relationship Type="http://schemas.openxmlformats.org/officeDocument/2006/relationships/chart" Target="/xl/drawings/charts/chart6.xml" Id="Rd2a2cf5875624ed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c7e1a782fe1d4165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Load factor by destination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Seat load factor</c:v>
          </c:tx>
          <c:cat>
            <c:strRef>
              <c:f>Dashboard!$A$14:$A$19</c:f>
              <c:strCache>
                <c:ptCount val="6"/>
                <c:pt idx="0">
                  <c:v>Tenerife</c:v>
                </c:pt>
                <c:pt idx="1">
                  <c:v>Malaga</c:v>
                </c:pt>
                <c:pt idx="2">
                  <c:v>Lisbon</c:v>
                </c:pt>
                <c:pt idx="3">
                  <c:v>Antalya</c:v>
                </c:pt>
                <c:pt idx="4">
                  <c:v>Rome</c:v>
                </c:pt>
                <c:pt idx="5">
                  <c:v>Marrakech</c:v>
                </c:pt>
              </c:strCache>
            </c:strRef>
          </c:cat>
          <c:val>
            <c:numRef>
              <c:f>Dashboard!$D$14:$D$19</c:f>
              <c:numCache>
                <c:formatCode>0.0%</c:formatCode>
                <c:ptCount val="6"/>
                <c:pt idx="0">
                  <c:v>0.5780903034789046</c:v>
                </c:pt>
                <c:pt idx="1">
                  <c:v>0.4343642611683849</c:v>
                </c:pt>
                <c:pt idx="2">
                  <c:v>0.49932659932659934</c:v>
                </c:pt>
                <c:pt idx="3">
                  <c:v>0.5163043478260869</c:v>
                </c:pt>
                <c:pt idx="4">
                  <c:v>0.4920907840440165</c:v>
                </c:pt>
                <c:pt idx="5">
                  <c:v>0.5334961618981159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Booked revenue by departure week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Booked revenue (£)</c:v>
          </c:tx>
          <c:marker>
            <c:symbol val="none"/>
          </c:marker>
          <c:cat>
            <c:numRef>
              <c:f>Dashboard!$A$24:$A$35</c:f>
              <c:numCache>
                <c:formatCode>dd\ mmm</c:formatCode>
                <c:ptCount val="12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  <c:pt idx="6">
                  <c:v>46354</c:v>
                </c:pt>
                <c:pt idx="7">
                  <c:v>46361</c:v>
                </c:pt>
                <c:pt idx="8">
                  <c:v>46368</c:v>
                </c:pt>
                <c:pt idx="9">
                  <c:v>46375</c:v>
                </c:pt>
                <c:pt idx="10">
                  <c:v>46382</c:v>
                </c:pt>
                <c:pt idx="11">
                  <c:v>46389</c:v>
                </c:pt>
              </c:numCache>
            </c:numRef>
          </c:cat>
          <c:val>
            <c:numRef>
              <c:f>Dashboard!$E$24:$E$35</c:f>
              <c:numCache>
                <c:formatCode>"£"#,##0</c:formatCode>
                <c:ptCount val="12"/>
                <c:pt idx="0">
                  <c:v>683658</c:v>
                </c:pt>
                <c:pt idx="1">
                  <c:v>654575</c:v>
                </c:pt>
                <c:pt idx="2">
                  <c:v>681416</c:v>
                </c:pt>
                <c:pt idx="3">
                  <c:v>557901</c:v>
                </c:pt>
                <c:pt idx="4">
                  <c:v>496894</c:v>
                </c:pt>
                <c:pt idx="5">
                  <c:v>497408</c:v>
                </c:pt>
                <c:pt idx="6">
                  <c:v>502145</c:v>
                </c:pt>
                <c:pt idx="7">
                  <c:v>333977</c:v>
                </c:pt>
                <c:pt idx="8">
                  <c:v>405782</c:v>
                </c:pt>
                <c:pt idx="9">
                  <c:v>320882</c:v>
                </c:pt>
                <c:pt idx="10">
                  <c:v>189820</c:v>
                </c:pt>
                <c:pt idx="11">
                  <c:v>268598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\ 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Week-on-Week Booking Growth by Destination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'Booking Growth'!$G$3</c:f>
              <c:strCache>
                <c:ptCount val="1"/>
                <c:pt idx="0">
                  <c:v>Booking Growth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accent1">
                  <a:lumMod val="60000"/>
                  <a:lumOff val="40000"/>
                </a:schemeClr>
              </a:solidFill>
            </a:ln>
          </c:spPr>
          <c:invertIfNegative val="0"/>
          <c:dPt>
            <c:idx val="0"/>
            <c:invertIfNegative val="0"/>
            <c:spPr>
              <a:solidFill xmlns:a="http://schemas.openxmlformats.org/drawingml/2006/main">
                <a:srgbClr val="00B050"/>
              </a:solidFill>
              <a:ln xmlns:a="http://schemas.openxmlformats.org/drawingml/2006/main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dPt>
          <c:dPt>
            <c:idx val="1"/>
            <c:invertIfNegative val="0"/>
            <c: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</a:ln>
            </c:spPr>
          </c:dPt>
          <c:dPt>
            <c:idx val="2"/>
            <c:invertIfNegative val="0"/>
            <c: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</a:ln>
            </c:spPr>
          </c:dPt>
          <c:dPt>
            <c:idx val="3"/>
            <c:invertIfNegative val="0"/>
            <c: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</a:ln>
            </c:spPr>
          </c:dPt>
          <c:dPt>
            <c:idx val="4"/>
            <c:invertIfNegative val="0"/>
            <c: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</a:ln>
            </c:spPr>
          </c:dPt>
          <c:dPt>
            <c:idx val="5"/>
            <c:invertIfNegative val="0"/>
            <c: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'Booking Growth'!$F$4:$F$9</c:f>
              <c:strCache>
                <c:ptCount val="6"/>
                <c:pt idx="0">
                  <c:v>Malaga</c:v>
                </c:pt>
                <c:pt idx="1">
                  <c:v>Antalya</c:v>
                </c:pt>
                <c:pt idx="2">
                  <c:v>Marrakech</c:v>
                </c:pt>
                <c:pt idx="3">
                  <c:v>Tenerife</c:v>
                </c:pt>
                <c:pt idx="4">
                  <c:v>Lisbon</c:v>
                </c:pt>
                <c:pt idx="5">
                  <c:v>Rome</c:v>
                </c:pt>
              </c:strCache>
            </c:strRef>
          </c:cat>
          <c:val>
            <c:numRef>
              <c:f>'Booking Growth'!$G$4:$G$9</c:f>
              <c:numCache>
                <c:formatCode>0.00%</c:formatCode>
                <c:ptCount val="6"/>
                <c:pt idx="0">
                  <c:v>0.049479166666666664</c:v>
                </c:pt>
                <c:pt idx="1">
                  <c:v>-0.005291005291005291</c:v>
                </c:pt>
                <c:pt idx="2">
                  <c:v>-0.04216867469879518</c:v>
                </c:pt>
                <c:pt idx="3">
                  <c:v>-0.05802047781569966</c:v>
                </c:pt>
                <c:pt idx="4">
                  <c:v>-0.14763231197771587</c:v>
                </c:pt>
                <c:pt idx="5">
                  <c:v>-0.20276497695852536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30271"/>
        <c:axId val="1162955152"/>
      </c:barChart>
      <c:catAx>
        <c:axId val="19503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xmlns:a="http://schemas.openxmlformats.org/drawingml/2006/main" w="9525" cmpd="sng">
            <a:noFill/>
          </a:ln>
        </c:spPr>
        <c:txPr>
          <a:bodyPr xmlns:a="http://schemas.openxmlformats.org/drawingml/2006/main" rot="-60000000" spcFirstLastPara="1" vert="horz" wrap="square" anchor="b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62955152"/>
        <c:crosses val="autoZero"/>
        <c:lblOffset val="100"/>
      </c:catAx>
      <c:valAx>
        <c:axId val="116295515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5030271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Seat Utilisation by Destination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'Load Factor'!$J$3</c:f>
              <c:strCache>
                <c:ptCount val="1"/>
                <c:pt idx="0">
                  <c:v>Load Factor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'Load Factor'!$I$4:$I$9</c:f>
              <c:strCache>
                <c:ptCount val="6"/>
                <c:pt idx="0">
                  <c:v>Antalya</c:v>
                </c:pt>
                <c:pt idx="1">
                  <c:v>Lisbon</c:v>
                </c:pt>
                <c:pt idx="2">
                  <c:v>Malaga</c:v>
                </c:pt>
                <c:pt idx="3">
                  <c:v>Marrakech</c:v>
                </c:pt>
                <c:pt idx="4">
                  <c:v>Rome</c:v>
                </c:pt>
                <c:pt idx="5">
                  <c:v>Tenerife</c:v>
                </c:pt>
              </c:strCache>
            </c:strRef>
          </c:cat>
          <c:val>
            <c:numRef>
              <c:f>'Load Factor'!$J$4:$J$9</c:f>
              <c:numCache>
                <c:formatCode>0.0%</c:formatCode>
                <c:ptCount val="6"/>
                <c:pt idx="0">
                  <c:v>0.5163043478260869</c:v>
                </c:pt>
                <c:pt idx="1">
                  <c:v>0.49932659932659934</c:v>
                </c:pt>
                <c:pt idx="2">
                  <c:v>0.4343642611683849</c:v>
                </c:pt>
                <c:pt idx="3">
                  <c:v>0.5334961618981159</c:v>
                </c:pt>
                <c:pt idx="4">
                  <c:v>0.4920907840440165</c:v>
                </c:pt>
                <c:pt idx="5">
                  <c:v>0.5780903034789046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537087"/>
        <c:axId val="1163102512"/>
      </c:barChart>
      <c:catAx>
        <c:axId val="44353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63102512"/>
        <c:crosses val="autoZero"/>
        <c:lblOffset val="100"/>
      </c:catAx>
      <c:valAx>
        <c:axId val="116310251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43537087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Load factor</c:v>
          </c:tx>
          <c:cat>
            <c:strRef>
              <c:f>'Performance Dashboard'!$A$4:$A$9</c:f>
              <c:strCache>
                <c:ptCount val="0"/>
              </c:strCache>
            </c:strRef>
          </c:cat>
          <c:val>
            <c:numRef>
              <c:f>'Performance Dashboard'!$B$4:$B$9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Booking growth</c:v>
          </c:tx>
          <c:cat>
            <c:strRef>
              <c:f>'Performance Dashboard'!$A$4:$A$9</c:f>
              <c:strCache>
                <c:ptCount val="0"/>
              </c:strCache>
            </c:strRef>
          </c:cat>
          <c:val>
            <c:numRef>
              <c:f>'Performance Dashboard'!$C$4:$C$9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Contribution by scenario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7-day contribution (£)</c:v>
          </c:tx>
          <c:cat>
            <c:numRef>
              <c:f>'Price Simulator'!$A$18:$A$20</c:f>
              <c:numCache>
                <c:formatCode>0%</c:formatCode>
                <c:ptCount val="3"/>
                <c:pt idx="0">
                  <c:v>-0.05</c:v>
                </c:pt>
                <c:pt idx="1">
                  <c:v>0</c:v>
                </c:pt>
                <c:pt idx="2">
                  <c:v>0.05</c:v>
                </c:pt>
              </c:numCache>
            </c:numRef>
          </c:cat>
          <c:val>
            <c:numRef>
              <c:f>'Price Simulator'!$E$18:$E$20</c:f>
              <c:numCache>
                <c:formatCode>"£"#,##0</c:formatCode>
                <c:ptCount val="3"/>
                <c:pt idx="0">
                  <c:v>8827.975</c:v>
                </c:pt>
                <c:pt idx="1">
                  <c:v>8736</c:v>
                </c:pt>
                <c:pt idx="2">
                  <c:v>8326.175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a338d3e7df484f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d276bbdad746e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242887</xdr:colOff>
      <xdr:row>2</xdr:row>
      <xdr:rowOff>66675</xdr:rowOff>
    </xdr:from>
    <xdr:to>
      <xdr:col>14</xdr:col>
      <xdr:colOff>14287</xdr:colOff>
      <xdr:row>17</xdr:row>
      <xdr:rowOff>85725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2c4723c3aa4d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442912</xdr:colOff>
      <xdr:row>1</xdr:row>
      <xdr:rowOff>76200</xdr:rowOff>
    </xdr:from>
    <xdr:to>
      <xdr:col>17</xdr:col>
      <xdr:colOff>214312</xdr:colOff>
      <xdr:row>16</xdr:row>
      <xdr:rowOff>95250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c5150862d42e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248160fda741d6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2cf5875624ed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e1a782fe1d4165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e61f73674cd1477c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60c035c536ac4dd5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13a3ffd0ab724083" /></Relationships>
</file>

<file path=xl/pivotTables/pivotTable.xml><?xml version="1.0" encoding="utf-8"?>
<x:pivotTableDefinition xmlns:x="http://schemas.openxmlformats.org/spreadsheetml/2006/main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stination">
  <x:location ref="A3:C10" firstHeaderRow="0" firstDataRow="1" firstDataCol="1"/>
  <x:pivotFields count="18">
    <x:pivotField numFmtId="14" showAll="0"/>
    <x:pivotField axis="axisRow" showAll="0">
      <x:items count="8">
        <x:item x="0"/>
        <x:item x="1"/>
        <x:item x="2"/>
        <x:item x="3"/>
        <x:item x="4"/>
        <x:item x="5"/>
        <x:item h="1" f="1" x="6"/>
        <x:item t="default"/>
      </x:items>
    </x:pivotField>
    <x:pivotField showAll="0"/>
    <x:pivotField showAll="0"/>
    <x:pivotField showAll="0"/>
    <x:pivotField showAll="0"/>
    <x:pivotField dataField="1" showAll="0"/>
    <x:pivotField dataField="1"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</x:pivotFields>
  <x:rowFields count="1">
    <x:field x="1"/>
  </x:rowFields>
  <x:rowItems count="7">
    <x:i>
      <x:x/>
    </x:i>
    <x:i>
      <x:x v="1"/>
    </x:i>
    <x:i>
      <x:x v="2"/>
    </x:i>
    <x:i>
      <x:x v="3"/>
    </x:i>
    <x:i>
      <x:x v="4"/>
    </x:i>
    <x:i>
      <x:x v="5"/>
    </x:i>
    <x:i t="grand">
      <x:x/>
    </x:i>
  </x:rowItems>
  <x:colFields count="1">
    <x:field x="-2"/>
  </x:colFields>
  <x:colItems count="2">
    <x:i>
      <x:x/>
    </x:i>
    <x:i i="1">
      <x:x v="1"/>
    </x:i>
  </x:colItems>
  <x:dataFields count="2">
    <x:dataField name="Sum of Last 7d bookings" fld="6" baseField="0" baseItem="0"/>
    <x:dataField name="Sum of Prior 7d bookings" fld="7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My Analysis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stination">
  <x:location ref="A3:D10" firstHeaderRow="0" firstDataRow="1" firstDataCol="1"/>
  <x:pivotFields count="18">
    <x:pivotField numFmtId="164" showAll="0"/>
    <x:pivotField axis="axisRow" showAll="0">
      <x:items count="7">
        <x:item x="3"/>
        <x:item x="2"/>
        <x:item x="1"/>
        <x:item x="5"/>
        <x:item x="4"/>
        <x:item x="0"/>
        <x:item t="default"/>
      </x:items>
    </x:pivotField>
    <x:pivotField showAll="0"/>
    <x:pivotField showAll="0"/>
    <x:pivotField dataField="1" showAll="0">
      <x:items count="8">
        <x:item x="3"/>
        <x:item x="1"/>
        <x:item x="2"/>
        <x:item x="6"/>
        <x:item x="5"/>
        <x:item x="0"/>
        <x:item x="4"/>
        <x:item t="default"/>
      </x:items>
    </x:pivotField>
    <x:pivotField dataField="1" showAll="0">
      <x:items count="57">
        <x:item x="54"/>
        <x:item x="45"/>
        <x:item x="50"/>
        <x:item x="49"/>
        <x:item x="43"/>
        <x:item x="37"/>
        <x:item x="52"/>
        <x:item x="39"/>
        <x:item x="51"/>
        <x:item x="55"/>
        <x:item x="46"/>
        <x:item x="44"/>
        <x:item x="48"/>
        <x:item x="18"/>
        <x:item x="36"/>
        <x:item x="42"/>
        <x:item x="33"/>
        <x:item x="53"/>
        <x:item x="32"/>
        <x:item x="31"/>
        <x:item x="40"/>
        <x:item x="5"/>
        <x:item x="26"/>
        <x:item x="23"/>
        <x:item x="38"/>
        <x:item x="34"/>
        <x:item x="10"/>
        <x:item x="6"/>
        <x:item x="27"/>
        <x:item x="21"/>
        <x:item x="47"/>
        <x:item x="29"/>
        <x:item x="22"/>
        <x:item x="2"/>
        <x:item x="28"/>
        <x:item x="41"/>
        <x:item x="14"/>
        <x:item x="24"/>
        <x:item x="17"/>
        <x:item x="30"/>
        <x:item x="19"/>
        <x:item x="25"/>
        <x:item x="7"/>
        <x:item x="4"/>
        <x:item x="12"/>
        <x:item x="3"/>
        <x:item x="15"/>
        <x:item x="20"/>
        <x:item x="11"/>
        <x:item x="35"/>
        <x:item x="13"/>
        <x:item x="8"/>
        <x:item x="16"/>
        <x:item x="9"/>
        <x:item x="1"/>
        <x:item x="0"/>
        <x:item t="default"/>
      </x:items>
    </x:pivotField>
    <x:pivotField showAll="0"/>
    <x:pivotField showAll="0"/>
    <x:pivotField numFmtId="170" showAll="0"/>
    <x:pivotField numFmtId="170" showAll="0"/>
    <x:pivotField numFmtId="170" showAll="0"/>
    <x:pivotField numFmtId="165" showAll="0"/>
    <x:pivotField showAll="0"/>
    <x:pivotField numFmtId="165" showAll="0"/>
    <x:pivotField dataField="1" numFmtId="170" showAll="0">
      <x:items count="73">
        <x:item x="55"/>
        <x:item x="69"/>
        <x:item x="62"/>
        <x:item x="64"/>
        <x:item x="63"/>
        <x:item x="61"/>
        <x:item x="50"/>
        <x:item x="65"/>
        <x:item x="43"/>
        <x:item x="58"/>
        <x:item x="56"/>
        <x:item x="67"/>
        <x:item x="70"/>
        <x:item x="45"/>
        <x:item x="53"/>
        <x:item x="66"/>
        <x:item x="60"/>
        <x:item x="35"/>
        <x:item x="19"/>
        <x:item x="49"/>
        <x:item x="5"/>
        <x:item x="47"/>
        <x:item x="39"/>
        <x:item x="71"/>
        <x:item x="68"/>
        <x:item x="44"/>
        <x:item x="38"/>
        <x:item x="28"/>
        <x:item x="31"/>
        <x:item x="2"/>
        <x:item x="10"/>
        <x:item x="42"/>
        <x:item x="46"/>
        <x:item x="26"/>
        <x:item x="25"/>
        <x:item x="13"/>
        <x:item x="57"/>
        <x:item x="29"/>
        <x:item x="54"/>
        <x:item x="52"/>
        <x:item x="40"/>
        <x:item x="32"/>
        <x:item x="59"/>
        <x:item x="36"/>
        <x:item x="23"/>
        <x:item x="34"/>
        <x:item x="7"/>
        <x:item x="20"/>
        <x:item x="51"/>
        <x:item x="6"/>
        <x:item x="37"/>
        <x:item x="4"/>
        <x:item x="18"/>
        <x:item x="33"/>
        <x:item x="27"/>
        <x:item x="15"/>
        <x:item x="11"/>
        <x:item x="24"/>
        <x:item x="48"/>
        <x:item x="21"/>
        <x:item x="30"/>
        <x:item x="12"/>
        <x:item x="14"/>
        <x:item x="8"/>
        <x:item x="16"/>
        <x:item x="22"/>
        <x:item x="41"/>
        <x:item x="3"/>
        <x:item x="17"/>
        <x:item x="1"/>
        <x:item x="9"/>
        <x:item x="0"/>
        <x:item t="default"/>
      </x:items>
    </x:pivotField>
    <x:pivotField numFmtId="170" showAll="0"/>
    <x:pivotField numFmtId="165" showAll="0"/>
    <x:pivotField showAll="0"/>
  </x:pivotFields>
  <x:rowFields count="1">
    <x:field x="1"/>
  </x:rowFields>
  <x:rowItems count="7">
    <x:i>
      <x:x/>
    </x:i>
    <x:i>
      <x:x v="1"/>
    </x:i>
    <x:i>
      <x:x v="2"/>
    </x:i>
    <x:i>
      <x:x v="3"/>
    </x:i>
    <x:i>
      <x:x v="4"/>
    </x:i>
    <x:i>
      <x:x v="5"/>
    </x:i>
    <x:i t="grand">
      <x:x/>
    </x:i>
  </x:rowItems>
  <x:colFields count="1">
    <x:field x="-2"/>
  </x:colFields>
  <x:colItems count="3">
    <x:i>
      <x:x/>
    </x:i>
    <x:i i="1">
      <x:x v="1"/>
    </x:i>
    <x:i i="2">
      <x:x v="2"/>
    </x:i>
  </x:colItems>
  <x:dataFields count="3">
    <x:dataField name="Sum of Seat capacity" fld="4" baseField="0" baseItem="0"/>
    <x:dataField name="Sum of Booked revenue (£)" fld="14" baseField="0" baseItem="0" numFmtId="170"/>
    <x:dataField name="Sum of Seats sold" fld="5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3.xml><?xml version="1.0" encoding="utf-8"?>
<x:pivotTableDefinition xmlns:x="http://schemas.openxmlformats.org/spreadsheetml/2006/main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stination">
  <x:location ref="A3:C10" firstHeaderRow="0" firstDataRow="1" firstDataCol="1"/>
  <x:pivotFields count="18">
    <x:pivotField numFmtId="164" showAll="0"/>
    <x:pivotField axis="axisRow" showAll="0">
      <x:items count="7">
        <x:item x="3"/>
        <x:item x="2"/>
        <x:item x="1"/>
        <x:item x="5"/>
        <x:item x="4"/>
        <x:item x="0"/>
        <x:item t="default"/>
      </x:items>
    </x:pivotField>
    <x:pivotField showAll="0"/>
    <x:pivotField showAll="0"/>
    <x:pivotField showAll="0"/>
    <x:pivotField showAll="0"/>
    <x:pivotField showAll="0"/>
    <x:pivotField showAll="0"/>
    <x:pivotField dataField="1" numFmtId="170" showAll="0"/>
    <x:pivotField numFmtId="170" showAll="0"/>
    <x:pivotField dataField="1" numFmtId="170" showAll="0"/>
    <x:pivotField numFmtId="165" showAll="0"/>
    <x:pivotField showAll="0"/>
    <x:pivotField numFmtId="165" showAll="0"/>
    <x:pivotField numFmtId="170" showAll="0"/>
    <x:pivotField numFmtId="170" showAll="0"/>
    <x:pivotField numFmtId="165" showAll="0"/>
    <x:pivotField showAll="0"/>
  </x:pivotFields>
  <x:rowFields count="1">
    <x:field x="1"/>
  </x:rowFields>
  <x:rowItems count="7">
    <x:i>
      <x:x/>
    </x:i>
    <x:i>
      <x:x v="1"/>
    </x:i>
    <x:i>
      <x:x v="2"/>
    </x:i>
    <x:i>
      <x:x v="3"/>
    </x:i>
    <x:i>
      <x:x v="4"/>
    </x:i>
    <x:i>
      <x:x v="5"/>
    </x:i>
    <x:i t="grand">
      <x:x/>
    </x:i>
  </x:rowItems>
  <x:colFields count="1">
    <x:field x="-2"/>
  </x:colFields>
  <x:colItems count="2">
    <x:i>
      <x:x/>
    </x:i>
    <x:i i="1">
      <x:x v="1"/>
    </x:i>
  </x:colItems>
  <x:dataFields count="2">
    <x:dataField name="Average of Package price (£)" fld="8" subtotal="average" baseField="1" baseItem="0" numFmtId="170"/>
    <x:dataField name="Average of Competitor (£)" fld="10" subtotal="average" baseField="1" baseItem="0" numFmtId="17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ables/table1.xml><?xml version="1.0" encoding="utf-8"?>
<x:table xmlns:x="http://schemas.openxmlformats.org/spreadsheetml/2006/main" id="2" name="Table2" displayName="Table2" ref="A3:R75" totalsRowShown="0">
  <x:autoFilter ref="A3:R75"/>
  <x:tableColumns count="18">
    <x:tableColumn id="1" name="Departure" dataDxfId="8"/>
    <x:tableColumn id="2" name="Destination"/>
    <x:tableColumn id="3" name="Region"/>
    <x:tableColumn id="4" name="Days to depart"/>
    <x:tableColumn id="5" name="Seat capacity"/>
    <x:tableColumn id="6" name="Seats sold"/>
    <x:tableColumn id="7" name="Last 7d bookings"/>
    <x:tableColumn id="8" name="Prior 7d bookings"/>
    <x:tableColumn id="9" name="Package price (£)"/>
    <x:tableColumn id="10" name="Var. cost (£)"/>
    <x:tableColumn id="11" name="Competitor (£)"/>
    <x:tableColumn id="12" name="Load factor"/>
    <x:tableColumn id="13" name="Seats remaining"/>
    <x:tableColumn id="14" name="Booking momentum"/>
    <x:tableColumn id="15" name="Booked revenue (£)"/>
    <x:tableColumn id="16" name="Booked contribution (£)"/>
    <x:tableColumn id="17" name="Price vs market"/>
    <x:tableColumn id="18" name="Review sig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yntheticBookingSnapshot" displayName="SyntheticBookingSnapshot" ref="A4:R76" totalsRowShown="0">
  <x:tableColumns count="18">
    <x:tableColumn id="1" name="Departure"/>
    <x:tableColumn id="2" name="Destination"/>
    <x:tableColumn id="3" name="Region"/>
    <x:tableColumn id="4" name="Days to depart"/>
    <x:tableColumn id="5" name="Seat capacity"/>
    <x:tableColumn id="6" name="Seats sold"/>
    <x:tableColumn id="7" name="Last 7d bookings"/>
    <x:tableColumn id="8" name="Prior 7d bookings"/>
    <x:tableColumn id="9" name="Package price (£)"/>
    <x:tableColumn id="10" name="Var. cost (£)"/>
    <x:tableColumn id="11" name="Competitor (£)"/>
    <x:tableColumn id="12" name="Load factor"/>
    <x:tableColumn id="13" name="Seats remaining"/>
    <x:tableColumn id="14" name="Booking momentum"/>
    <x:tableColumn id="15" name="Booked revenue (£)"/>
    <x:tableColumn id="16" name="Booked contribution (£)"/>
    <x:tableColumn id="17" name="Price vs market"/>
    <x:tableColumn id="18" name="Review sig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62b083516b541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6e9936cc3a04c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b060f2b76744340" /><Relationship Type="http://schemas.openxmlformats.org/officeDocument/2006/relationships/pivotTable" Target="/xl/pivotTables/pivotTable.xml" Id="Re1c73c583f0843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a8e8ddae27e24e17" /><Relationship Type="http://schemas.openxmlformats.org/officeDocument/2006/relationships/pivotTable" Target="/xl/pivotTables/pivotTable2.xml" Id="R16ecb8ee167943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ced374f4978b4e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53c91d5c0ed34f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345d0bfda30f40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7a5d1cbd91ed4254" /></Relationships>
</file>

<file path=xl/worksheets/sheet1.xml><?xml version="1.0" encoding="utf-8"?>
<x:worksheet xmlns:x="http://schemas.openxmlformats.org/spreadsheetml/2006/main">
  <x:sheetFormatPr defaultRowHeight="14.25"/>
  <x:cols>
    <x:col min="1" max="1" width="47" hidden="0" customWidth="1"/>
    <x:col min="2" max="2" width="86" hidden="0" customWidth="1"/>
    <x:col min="3" max="10" width="13" customWidth="1"/>
  </x:cols>
  <x:sheetData>
    <x:row r="1" ht="38" customHeight="1">
      <x:c r="A1" s="172" t="str">
        <x:v>HOLIDAY YIELD ANALYSIS  |  EXCEL CASE STUDY</x:v>
      </x:c>
      <x:c r="B1" s="172"/>
      <x:c r="C1" s="23"/>
      <x:c r="D1" s="23"/>
      <x:c r="E1" s="23"/>
      <x:c r="F1" s="23"/>
      <x:c r="G1" s="23"/>
      <x:c r="H1" s="23"/>
      <x:c r="I1" s="23"/>
      <x:c r="J1" s="23"/>
    </x:row>
    <x:row r="2" ht="36.95000076293945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</x:row>
    <x:row r="4" ht="30" customHeight="1">
      <x:c r="A4" s="24" t="str">
        <x:v>Commercial analytics project using synthetic travel-booking data; no actual customer, supplier or TUI records.</x:v>
      </x:c>
      <x:c r="B4" s="24"/>
      <x:c r="C4" s="24"/>
      <x:c r="D4" s="24"/>
      <x:c r="E4" s="24"/>
      <x:c r="F4" s="24"/>
      <x:c r="G4" s="24"/>
      <x:c r="H4" s="24"/>
      <x:c r="I4" s="24"/>
      <x:c r="J4" s="24"/>
    </x:row>
    <x:row r="6" ht="24.950000762939453" customHeight="1">
      <x:c r="A6" s="174" t="str">
        <x:v>01  |  PROJECT OBJECTIVE</x:v>
      </x:c>
      <x:c r="B6" s="174"/>
      <x:c r="C6" s="1"/>
      <x:c r="D6" s="1"/>
      <x:c r="E6" s="1"/>
      <x:c r="F6" s="1"/>
      <x:c r="G6" s="1"/>
      <x:c r="H6" s="1"/>
      <x:c r="I6" s="1"/>
      <x:c r="J6" s="1"/>
    </x:row>
    <x:row r="7" ht="23.100000381469727" customHeight="1">
      <x:c r="A7" s="25" t="str">
        <x:v>Analyse 72 fictional departure-week observations across six holiday destinations. Compare seat utilisation, booking momentum and price competitiveness; identify opportunities for further investigation.</x:v>
      </x:c>
      <x:c r="B7" s="25"/>
      <x:c r="C7" s="25"/>
      <x:c r="D7" s="25"/>
      <x:c r="E7" s="25"/>
      <x:c r="F7" s="25"/>
      <x:c r="G7" s="25"/>
      <x:c r="H7" s="25"/>
      <x:c r="I7" s="25"/>
      <x:c r="J7" s="25"/>
    </x:row>
    <x:row r="8" ht="23.100000381469727" customHeight="1">
      <x:c r="A8" s="25"/>
      <x:c r="B8" s="25"/>
      <x:c r="C8" s="25"/>
      <x:c r="D8" s="25"/>
      <x:c r="E8" s="25"/>
      <x:c r="F8" s="25"/>
      <x:c r="G8" s="25"/>
      <x:c r="H8" s="25"/>
      <x:c r="I8" s="25"/>
      <x:c r="J8" s="25"/>
    </x:row>
    <x:row r="10" ht="24.950000762939453" customHeight="1">
      <x:c r="A10" s="174" t="str">
        <x:v>02  |  WORKBOOK CONTENTS</x:v>
      </x:c>
      <x:c r="B10" s="174"/>
      <x:c r="C10" s="1"/>
      <x:c r="D10" s="1"/>
      <x:c r="E10" s="1"/>
      <x:c r="F10" s="1"/>
      <x:c r="G10" s="1"/>
      <x:c r="H10" s="1"/>
      <x:c r="I10" s="1"/>
      <x:c r="J10" s="1"/>
    </x:row>
    <x:row r="12" ht="15">
      <x:c r="A12" s="179" t="str">
        <x:v>Performance Dashboard</x:v>
      </x:c>
      <x:c r="B12" s="181" t="str">
        <x:v>Completed KPI comparison, review priorities, commercial insights and pricing scenario.</x:v>
      </x:c>
      <x:c r="C12" s="26"/>
      <x:c r="D12" s="26"/>
      <x:c r="E12" s="26"/>
      <x:c r="F12" s="26"/>
      <x:c r="G12" s="26"/>
      <x:c r="H12" s="26"/>
      <x:c r="I12" s="26"/>
      <x:c r="J12" s="26"/>
    </x:row>
    <x:row r="13" ht="15">
      <x:c r="A13" s="179" t="str">
        <x:v>Load Factor</x:v>
      </x:c>
      <x:c r="B13" s="181" t="str">
        <x:v>PivotTable summary and load-factor chart, weighted by seat capacity.</x:v>
      </x:c>
      <x:c r="C13" s="26"/>
      <x:c r="D13" s="26"/>
      <x:c r="E13" s="26"/>
      <x:c r="F13" s="26"/>
      <x:c r="G13" s="26"/>
      <x:c r="H13" s="26"/>
      <x:c r="I13" s="26"/>
      <x:c r="J13" s="26"/>
    </x:row>
    <x:row r="14" ht="15">
      <x:c r="A14" s="179" t="str">
        <x:v>Booking Growth</x:v>
      </x:c>
      <x:c r="B14" s="181" t="str">
        <x:v>Week-on-week booking momentum PivotTable and chart.</x:v>
      </x:c>
      <x:c r="C14" s="26"/>
      <x:c r="D14" s="26"/>
      <x:c r="E14" s="26"/>
      <x:c r="F14" s="26"/>
      <x:c r="G14" s="26"/>
      <x:c r="H14" s="26"/>
      <x:c r="I14" s="26"/>
      <x:c r="J14" s="26"/>
    </x:row>
    <x:row r="15" ht="15">
      <x:c r="A15" s="179" t="str">
        <x:v>Price Analysis</x:v>
      </x:c>
      <x:c r="B15" s="181" t="str">
        <x:v>Average package price versus competitors and relative price position.</x:v>
      </x:c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179" t="str">
        <x:v>Price Simulator</x:v>
      </x:c>
      <x:c r="B16" s="181" t="str">
        <x:v>Editable elasticity assumptions with −5%, 0% and +5% price scenarios.</x:v>
      </x:c>
    </x:row>
    <x:row r="17">
      <x:c r="A17" s="179" t="str">
        <x:v>Bookings</x:v>
      </x:c>
      <x:c r="B17" s="181" t="str">
        <x:v>72 synthetic input records and calculated metrics; original data for the analyses.</x:v>
      </x:c>
    </x:row>
    <x:row r="18" ht="24.950000762939453" customHeight="1">
      <x:c r="A18" s="174" t="str">
        <x:v>03  |  METHODS AND TOOLS</x:v>
      </x:c>
      <x:c r="B18" s="174"/>
      <x:c r="C18" s="1"/>
      <x:c r="D18" s="1"/>
      <x:c r="E18" s="1"/>
      <x:c r="F18" s="1"/>
      <x:c r="G18" s="1"/>
      <x:c r="H18" s="1"/>
      <x:c r="I18" s="1"/>
      <x:c r="J18" s="1"/>
    </x:row>
    <x:row r="19">
      <x:c r="A19" s="25" t="str">
        <x:v>Excel PivotTables; weighted load factor; week-on-week booking growth; XLOOKUP across analysis sheets; IF/AND review flags; conditional formatting; comparative price analysis; charts; and a contribution scenario.</x:v>
      </x:c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3" ht="24.950000762939453" customHeight="1">
      <x:c r="A23" s="174" t="str">
        <x:v>04  |  KEY FINDINGS</x:v>
      </x:c>
      <x:c r="B23" s="174"/>
      <x:c r="C23" s="1"/>
      <x:c r="D23" s="1"/>
      <x:c r="E23" s="1"/>
      <x:c r="F23" s="1"/>
      <x:c r="G23" s="1"/>
      <x:c r="H23" s="1"/>
      <x:c r="I23" s="1"/>
      <x:c r="J23" s="1"/>
    </x:row>
    <x:row r="24" ht="21" customHeight="1">
      <x:c r="A24" s="25" t="str">
        <x:v>Rome and Lisbon have pronounced declines in recent bookings and merit further investigation. Malaga has the lowest aggregate load factor but positive booking growth. Higher competitor-relative pricing in Tenerife is not, by itself, proof that prices should fall.</x:v>
      </x:c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 ht="21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 ht="21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 ht="21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9" ht="24.950000762939453" customHeight="1">
      <x:c r="A29" s="174" t="str">
        <x:v>05  |  SCOPE AND LIMITATIONS</x:v>
      </x:c>
      <x:c r="B29" s="174"/>
      <x:c r="C29" s="1"/>
      <x:c r="D29" s="1"/>
      <x:c r="E29" s="1"/>
      <x:c r="F29" s="1"/>
      <x:c r="G29" s="1"/>
      <x:c r="H29" s="1"/>
      <x:c r="I29" s="1"/>
      <x:c r="J29" s="1"/>
    </x:row>
    <x:row r="30">
      <x:c r="A30" s="25" t="str">
        <x:v>All 72 booking observations, fares and costs are synthetic. Load factors and price comparisons aggregate different departure weeks. Pricing-sensitivity inputs and the £500 illustrative variable cost are assumptions, not validated demand forecasts. Contribution is not net profit.</x:v>
      </x:c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145" t="str">
        <x:v>PROJECT DESCRIPTION</x:v>
      </x:c>
      <x:c r="B34" s="145"/>
    </x:row>
    <x:row r="35" ht="15">
      <x:c r="A35" s="3" t="str">
        <x:v>Analysed a fictional holiday-booking dataset in Excel with PivotTables, lookup formulas and visualisations. Compared destinations on utilisation, demand trends and price position, then evaluated a 5% discount using contribution per booking.</x:v>
      </x:c>
    </x:row>
    <x:row r="36">
      <x:c r="A36" s="25" t="s">
        <x:v>0</x:v>
      </x:c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</x:sheetData>
  <x:mergeCells>
    <x:mergeCell ref="A36:J38"/>
    <x:mergeCell ref="B14:J14"/>
    <x:mergeCell ref="B15:J15"/>
    <x:mergeCell ref="A19:J21"/>
    <x:mergeCell ref="A24:J27"/>
    <x:mergeCell ref="A30:J33"/>
    <x:mergeCell ref="A1:J2"/>
    <x:mergeCell ref="A4:J4"/>
    <x:mergeCell ref="A7:J8"/>
    <x:mergeCell ref="B12:J12"/>
    <x:mergeCell ref="B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25"/>
  <x:cols>
    <x:col min="1" max="1" width="21" customWidth="1"/>
    <x:col min="2" max="3" width="14" customWidth="1"/>
    <x:col min="4" max="4" width="17" customWidth="1"/>
    <x:col min="5" max="6" width="18" customWidth="1"/>
    <x:col min="7" max="10" width="16" customWidth="1"/>
    <x:col min="11" max="11" width="3" customWidth="1"/>
    <x:col min="12" max="19" width="12" customWidth="1"/>
  </x:cols>
  <x:sheetData>
    <x:row r="1" ht="36.95000076293945" customHeight="1">
      <x:c r="A1" s="23" t="s">
        <x:v>1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</x:row>
    <x:row r="2" ht="36.95000076293945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3" ht="24.950000762939453" customHeight="1">
      <x:c r="A3" s="27" t="s">
        <x:v>2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</x:row>
    <x:row r="5" ht="27.950000762939453" customHeight="1">
      <x:c r="A5" s="6" t="s">
        <x:v>3</x:v>
      </x:c>
      <x:c r="B5" s="7" t="n">
        <x:f>SUM(Bookings!F5:F76)</x:f>
        <x:v>8789</x:v>
      </x:c>
    </x:row>
    <x:row r="6" ht="27.950000762939453" customHeight="1">
      <x:c r="A6" s="6" t="s">
        <x:v>4</x:v>
      </x:c>
      <x:c r="B6" s="7" t="n">
        <x:f>SUM(Bookings!E5:E76)</x:f>
        <x:v>17300</x:v>
      </x:c>
    </x:row>
    <x:row r="7" ht="27.950000762939453" customHeight="1">
      <x:c r="A7" s="6" t="s">
        <x:v>5</x:v>
      </x:c>
      <x:c r="B7" s="8" t="n">
        <x:f>IFERROR(B5/B6,0)</x:f>
        <x:v>0.5080346820809248</x:v>
      </x:c>
    </x:row>
    <x:row r="8" ht="27.950000762939453" customHeight="1">
      <x:c r="A8" s="6" t="s">
        <x:v>6</x:v>
      </x:c>
      <x:c r="B8" s="20" t="n">
        <x:f>SUM(Bookings!O5:O76)</x:f>
        <x:v>5593056</x:v>
      </x:c>
    </x:row>
    <x:row r="9" ht="27.950000762939453" customHeight="1">
      <x:c r="A9" s="6" t="s">
        <x:v>7</x:v>
      </x:c>
      <x:c r="B9" s="20" t="n">
        <x:f>SUM(Bookings!P5:P76)</x:f>
        <x:v>2070369</x:v>
      </x:c>
    </x:row>
    <x:row r="10" ht="27.950000762939453" customHeight="1">
      <x:c r="A10" s="6" t="s">
        <x:v>8</x:v>
      </x:c>
      <x:c r="B10" s="9" t="n">
        <x:f>COUNTIF(Bookings!R5:R76,"Review increase")+COUNTIF(Bookings!R5:R76,"Review decrease")</x:f>
        <x:v>5</x:v>
      </x:c>
    </x:row>
    <x:row r="12" ht="24.950000762939453" customHeight="1">
      <x:c r="A12" s="1" t="s">
        <x:v>9</x:v>
      </x:c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7.950000762939453" customHeight="1">
      <x:c r="A13" s="11" t="s">
        <x:v>10</x:v>
      </x:c>
      <x:c r="B13" s="11" t="s">
        <x:v>11</x:v>
      </x:c>
      <x:c r="C13" s="11" t="s">
        <x:v>3</x:v>
      </x:c>
      <x:c r="D13" s="11" t="s">
        <x:v>12</x:v>
      </x:c>
      <x:c r="E13" s="11" t="s">
        <x:v>6</x:v>
      </x:c>
      <x:c r="F13" s="11" t="s">
        <x:v>13</x:v>
      </x:c>
      <x:c r="G13" s="11" t="s">
        <x:v>14</x:v>
      </x:c>
      <x:c r="H13" s="11" t="s">
        <x:v>15</x:v>
      </x:c>
      <x:c r="I13" s="11" t="s">
        <x:v>16</x:v>
      </x:c>
      <x:c r="J13" s="11" t="s">
        <x:v>8</x:v>
      </x:c>
    </x:row>
    <x:row r="14">
      <x:c r="A14" t="s">
        <x:v>17</x:v>
      </x:c>
      <x:c r="B14" t="n">
        <x:f>SUMIF(Bookings!$B$5:$B$76,$A14,Bookings!$E$5:$E$76)</x:f>
        <x:v>2702</x:v>
      </x:c>
      <x:c r="C14" t="n">
        <x:f>SUMIF(Bookings!$B$5:$B$76,$A14,Bookings!$F$5:$F$76)</x:f>
        <x:v>1562</x:v>
      </x:c>
      <x:c r="D14" s="5" t="n">
        <x:f t="shared" ref="D14:D19" si="0">IFERROR(C14/B14,0)</x:f>
        <x:v>0.5780903034789046</x:v>
      </x:c>
      <x:c r="E14" s="21" t="n">
        <x:f>SUMIF(Bookings!$B$5:$B$76,$A14,Bookings!$O$5:$O$76)</x:f>
        <x:v>1147385</x:v>
      </x:c>
      <x:c r="F14" s="21" t="n">
        <x:f>SUMIF(Bookings!$B$5:$B$76,$A14,Bookings!$P$5:$P$76)</x:f>
        <x:v>409795</x:v>
      </x:c>
      <x:c r="G14" t="n">
        <x:f>SUMIFS(Bookings!$G$5:$G$76,Bookings!$B$5:$B$76,$A14)</x:f>
        <x:v>276</x:v>
      </x:c>
      <x:c r="H14" t="n">
        <x:f>SUMIFS(Bookings!$H$5:$H$76,Bookings!$B$5:$B$76,$A14)</x:f>
        <x:v>293</x:v>
      </x:c>
      <x:c r="I14" s="5" t="n">
        <x:f t="shared" ref="I14:I19" si="1">IFERROR(G14/H14-1,0)</x:f>
        <x:v>-0.058020477815699634</x:v>
      </x:c>
      <x:c r="J14" t="n">
        <x:f>COUNTIFS(Bookings!$B$5:$B$76,$A14,Bookings!$R$5:$R$76,"Review increase")+COUNTIFS(Bookings!$B$5:$B$76,$A14,Bookings!$R$5:$R$76,"Review decrease")</x:f>
        <x:v>1</x:v>
      </x:c>
    </x:row>
    <x:row r="15">
      <x:c r="A15" t="s">
        <x:v>18</x:v>
      </x:c>
      <x:c r="B15" t="n">
        <x:f>SUMIF(Bookings!$B$5:$B$76,$A15,Bookings!$E$5:$E$76)</x:f>
        <x:v>2910</x:v>
      </x:c>
      <x:c r="C15" t="n">
        <x:f>SUMIF(Bookings!$B$5:$B$76,$A15,Bookings!$F$5:$F$76)</x:f>
        <x:v>1264</x:v>
      </x:c>
      <x:c r="D15" s="5">
        <x:f t="shared" si="0"/>
        <x:v>0.43436426116838489</x:v>
      </x:c>
      <x:c r="E15" s="21" t="n">
        <x:f>SUMIF(Bookings!$B$5:$B$76,$A15,Bookings!$O$5:$O$76)</x:f>
        <x:v>768195</x:v>
      </x:c>
      <x:c r="F15" s="21" t="n">
        <x:f>SUMIF(Bookings!$B$5:$B$76,$A15,Bookings!$P$5:$P$76)</x:f>
        <x:v>304249</x:v>
      </x:c>
      <x:c r="G15" t="n">
        <x:f>SUMIFS(Bookings!$G$5:$G$76,Bookings!$B$5:$B$76,$A15)</x:f>
        <x:v>403</x:v>
      </x:c>
      <x:c r="H15" t="n">
        <x:f>SUMIFS(Bookings!$H$5:$H$76,Bookings!$B$5:$B$76,$A15)</x:f>
        <x:v>384</x:v>
      </x:c>
      <x:c r="I15" s="5">
        <x:f t="shared" si="1"/>
        <x:v>4.9479166666666741E-2</x:v>
      </x:c>
      <x:c r="J15" t="n">
        <x:f>COUNTIFS(Bookings!$B$5:$B$76,$A15,Bookings!$R$5:$R$76,"Review increase")+COUNTIFS(Bookings!$B$5:$B$76,$A15,Bookings!$R$5:$R$76,"Review decrease")</x:f>
        <x:v>1</x:v>
      </x:c>
    </x:row>
    <x:row r="16">
      <x:c r="A16" t="s">
        <x:v>19</x:v>
      </x:c>
      <x:c r="B16" t="n">
        <x:f>SUMIF(Bookings!$B$5:$B$76,$A16,Bookings!$E$5:$E$76)</x:f>
        <x:v>2970</x:v>
      </x:c>
      <x:c r="C16" t="n">
        <x:f>SUMIF(Bookings!$B$5:$B$76,$A16,Bookings!$F$5:$F$76)</x:f>
        <x:v>1483</x:v>
      </x:c>
      <x:c r="D16" s="5">
        <x:f t="shared" si="0"/>
        <x:v>0.49932659932659934</x:v>
      </x:c>
      <x:c r="E16" s="21" t="n">
        <x:f>SUMIF(Bookings!$B$5:$B$76,$A16,Bookings!$O$5:$O$76)</x:f>
        <x:v>818718</x:v>
      </x:c>
      <x:c r="F16" s="21" t="n">
        <x:f>SUMIF(Bookings!$B$5:$B$76,$A16,Bookings!$P$5:$P$76)</x:f>
        <x:v>332615</x:v>
      </x:c>
      <x:c r="G16" t="n">
        <x:f>SUMIFS(Bookings!$G$5:$G$76,Bookings!$B$5:$B$76,$A16)</x:f>
        <x:v>306</x:v>
      </x:c>
      <x:c r="H16" t="n">
        <x:f>SUMIFS(Bookings!$H$5:$H$76,Bookings!$B$5:$B$76,$A16)</x:f>
        <x:v>359</x:v>
      </x:c>
      <x:c r="I16" s="5">
        <x:f t="shared" si="1"/>
        <x:v>-0.14763231197771587</x:v>
      </x:c>
      <x:c r="J16" t="n">
        <x:f>COUNTIFS(Bookings!$B$5:$B$76,$A16,Bookings!$R$5:$R$76,"Review increase")+COUNTIFS(Bookings!$B$5:$B$76,$A16,Bookings!$R$5:$R$76,"Review decrease")</x:f>
        <x:v>1</x:v>
      </x:c>
    </x:row>
    <x:row r="17">
      <x:c r="A17" t="s">
        <x:v>20</x:v>
      </x:c>
      <x:c r="B17" t="n">
        <x:f>SUMIF(Bookings!$B$5:$B$76,$A17,Bookings!$E$5:$E$76)</x:f>
        <x:v>2944</x:v>
      </x:c>
      <x:c r="C17" t="n">
        <x:f>SUMIF(Bookings!$B$5:$B$76,$A17,Bookings!$F$5:$F$76)</x:f>
        <x:v>1520</x:v>
      </x:c>
      <x:c r="D17" s="5">
        <x:f t="shared" si="0"/>
        <x:v>0.51630434782608692</x:v>
      </x:c>
      <x:c r="E17" s="21" t="n">
        <x:f>SUMIF(Bookings!$B$5:$B$76,$A17,Bookings!$O$5:$O$76)</x:f>
        <x:v>1045940</x:v>
      </x:c>
      <x:c r="F17" s="21" t="n">
        <x:f>SUMIF(Bookings!$B$5:$B$76,$A17,Bookings!$P$5:$P$76)</x:f>
        <x:v>368076</x:v>
      </x:c>
      <x:c r="G17" t="n">
        <x:f>SUMIFS(Bookings!$G$5:$G$76,Bookings!$B$5:$B$76,$A17)</x:f>
        <x:v>376</x:v>
      </x:c>
      <x:c r="H17" t="n">
        <x:f>SUMIFS(Bookings!$H$5:$H$76,Bookings!$B$5:$B$76,$A17)</x:f>
        <x:v>378</x:v>
      </x:c>
      <x:c r="I17" s="5">
        <x:f t="shared" si="1"/>
        <x:v>-5.2910052910053462E-3</x:v>
      </x:c>
      <x:c r="J17" t="n">
        <x:f>COUNTIFS(Bookings!$B$5:$B$76,$A17,Bookings!$R$5:$R$76,"Review increase")+COUNTIFS(Bookings!$B$5:$B$76,$A17,Bookings!$R$5:$R$76,"Review decrease")</x:f>
        <x:v>1</x:v>
      </x:c>
    </x:row>
    <x:row r="18">
      <x:c r="A18" t="s">
        <x:v>21</x:v>
      </x:c>
      <x:c r="B18" t="n">
        <x:f>SUMIF(Bookings!$B$5:$B$76,$A18,Bookings!$E$5:$E$76)</x:f>
        <x:v>2908</x:v>
      </x:c>
      <x:c r="C18" t="n">
        <x:f>SUMIF(Bookings!$B$5:$B$76,$A18,Bookings!$F$5:$F$76)</x:f>
        <x:v>1431</x:v>
      </x:c>
      <x:c r="D18" s="5">
        <x:f t="shared" si="0"/>
        <x:v>0.49209078404401652</x:v>
      </x:c>
      <x:c r="E18" s="21" t="n">
        <x:f>SUMIF(Bookings!$B$5:$B$76,$A18,Bookings!$O$5:$O$76)</x:f>
        <x:v>888613</x:v>
      </x:c>
      <x:c r="F18" s="21" t="n">
        <x:f>SUMIF(Bookings!$B$5:$B$76,$A18,Bookings!$P$5:$P$76)</x:f>
        <x:v>317590</x:v>
      </x:c>
      <x:c r="G18" t="n">
        <x:f>SUMIFS(Bookings!$G$5:$G$76,Bookings!$B$5:$B$76,$A18)</x:f>
        <x:v>346</x:v>
      </x:c>
      <x:c r="H18" t="n">
        <x:f>SUMIFS(Bookings!$H$5:$H$76,Bookings!$B$5:$B$76,$A18)</x:f>
        <x:v>434</x:v>
      </x:c>
      <x:c r="I18" s="5">
        <x:f t="shared" si="1"/>
        <x:v>-0.20276497695852536</x:v>
      </x:c>
      <x:c r="J18" t="n">
        <x:f>COUNTIFS(Bookings!$B$5:$B$76,$A18,Bookings!$R$5:$R$76,"Review increase")+COUNTIFS(Bookings!$B$5:$B$76,$A18,Bookings!$R$5:$R$76,"Review decrease")</x:f>
        <x:v>0</x:v>
      </x:c>
    </x:row>
    <x:row r="19">
      <x:c r="A19" t="s">
        <x:v>22</x:v>
      </x:c>
      <x:c r="B19" t="n">
        <x:f>SUMIF(Bookings!$B$5:$B$76,$A19,Bookings!$E$5:$E$76)</x:f>
        <x:v>2866</x:v>
      </x:c>
      <x:c r="C19" t="n">
        <x:f>SUMIF(Bookings!$B$5:$B$76,$A19,Bookings!$F$5:$F$76)</x:f>
        <x:v>1529</x:v>
      </x:c>
      <x:c r="D19" s="5">
        <x:f t="shared" si="0"/>
        <x:v>0.53349616189811588</x:v>
      </x:c>
      <x:c r="E19" s="21" t="n">
        <x:f>SUMIF(Bookings!$B$5:$B$76,$A19,Bookings!$O$5:$O$76)</x:f>
        <x:v>924205</x:v>
      </x:c>
      <x:c r="F19" s="21" t="n">
        <x:f>SUMIF(Bookings!$B$5:$B$76,$A19,Bookings!$P$5:$P$76)</x:f>
        <x:v>338044</x:v>
      </x:c>
      <x:c r="G19" t="n">
        <x:f>SUMIFS(Bookings!$G$5:$G$76,Bookings!$B$5:$B$76,$A19)</x:f>
        <x:v>318</x:v>
      </x:c>
      <x:c r="H19" t="n">
        <x:f>SUMIFS(Bookings!$H$5:$H$76,Bookings!$B$5:$B$76,$A19)</x:f>
        <x:v>332</x:v>
      </x:c>
      <x:c r="I19" s="5">
        <x:f t="shared" si="1"/>
        <x:v>-4.216867469879515E-2</x:v>
      </x:c>
      <x:c r="J19" t="n">
        <x:f>COUNTIFS(Bookings!$B$5:$B$76,$A19,Bookings!$R$5:$R$76,"Review increase")+COUNTIFS(Bookings!$B$5:$B$76,$A19,Bookings!$R$5:$R$76,"Review decrease")</x:f>
        <x:v>1</x:v>
      </x:c>
    </x:row>
    <x:row r="22" ht="24.950000762939453" customHeight="1">
      <x:c r="A22" s="1" t="s">
        <x:v>23</x:v>
      </x:c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4.950000762939453" customHeight="1">
      <x:c r="A23" s="10" t="s">
        <x:v>24</x:v>
      </x:c>
      <x:c r="B23" s="10" t="s">
        <x:v>11</x:v>
      </x:c>
      <x:c r="C23" s="10" t="s">
        <x:v>3</x:v>
      </x:c>
      <x:c r="D23" s="10" t="s">
        <x:v>12</x:v>
      </x:c>
      <x:c r="E23" s="10" t="s">
        <x:v>6</x:v>
      </x:c>
    </x:row>
    <x:row r="24">
      <x:c r="A24" s="12">
        <x:v>46312</x:v>
      </x:c>
      <x:c r="B24" t="n">
        <x:f>SUMIF(Bookings!$A$5:$A$76,$A24,Bookings!$E$5:$E$76)</x:f>
        <x:v>1426</x:v>
      </x:c>
      <x:c r="C24" t="n">
        <x:f>SUMIF(Bookings!$A$5:$A$76,$A24,Bookings!$F$5:$F$76)</x:f>
        <x:v>1108</x:v>
      </x:c>
      <x:c r="D24" s="5" t="n">
        <x:f t="shared" ref="D24:D35" si="2">IFERROR(C24/B24,0)</x:f>
        <x:v>0.7769985974754559</x:v>
      </x:c>
      <x:c r="E24" s="21" t="n">
        <x:f>SUMIF(Bookings!$A$5:$A$76,$A24,Bookings!$O$5:$O$76)</x:f>
        <x:v>683658</x:v>
      </x:c>
    </x:row>
    <x:row r="25">
      <x:c r="A25" s="12">
        <x:v>46319</x:v>
      </x:c>
      <x:c r="B25" t="n">
        <x:f>SUMIF(Bookings!$A$5:$A$76,$A25,Bookings!$E$5:$E$76)</x:f>
        <x:v>1528</x:v>
      </x:c>
      <x:c r="C25" t="n">
        <x:f>SUMIF(Bookings!$A$5:$A$76,$A25,Bookings!$F$5:$F$76)</x:f>
        <x:v>1056</x:v>
      </x:c>
      <x:c r="D25" s="5">
        <x:f t="shared" si="2"/>
        <x:v>0.69109947643979053</x:v>
      </x:c>
      <x:c r="E25" s="21" t="n">
        <x:f>SUMIF(Bookings!$A$5:$A$76,$A25,Bookings!$O$5:$O$76)</x:f>
        <x:v>654575</x:v>
      </x:c>
    </x:row>
    <x:row r="26">
      <x:c r="A26" s="12">
        <x:v>46326</x:v>
      </x:c>
      <x:c r="B26" t="n">
        <x:f>SUMIF(Bookings!$A$5:$A$76,$A26,Bookings!$E$5:$E$76)</x:f>
        <x:v>1428</x:v>
      </x:c>
      <x:c r="C26" t="n">
        <x:f>SUMIF(Bookings!$A$5:$A$76,$A26,Bookings!$F$5:$F$76)</x:f>
        <x:v>1069</x:v>
      </x:c>
      <x:c r="D26" s="5">
        <x:f t="shared" si="2"/>
        <x:v>0.74859943977591037</x:v>
      </x:c>
      <x:c r="E26" s="21" t="n">
        <x:f>SUMIF(Bookings!$A$5:$A$76,$A26,Bookings!$O$5:$O$76)</x:f>
        <x:v>681416</x:v>
      </x:c>
    </x:row>
    <x:row r="27">
      <x:c r="A27" s="12">
        <x:v>46333</x:v>
      </x:c>
      <x:c r="B27" t="n">
        <x:f>SUMIF(Bookings!$A$5:$A$76,$A27,Bookings!$E$5:$E$76)</x:f>
        <x:v>1306</x:v>
      </x:c>
      <x:c r="C27" t="n">
        <x:f>SUMIF(Bookings!$A$5:$A$76,$A27,Bookings!$F$5:$F$76)</x:f>
        <x:v>871</x:v>
      </x:c>
      <x:c r="D27" s="5">
        <x:f t="shared" si="2"/>
        <x:v>0.66692189892802445</x:v>
      </x:c>
      <x:c r="E27" s="21" t="n">
        <x:f>SUMIF(Bookings!$A$5:$A$76,$A27,Bookings!$O$5:$O$76)</x:f>
        <x:v>557901</x:v>
      </x:c>
    </x:row>
    <x:row r="28">
      <x:c r="A28" s="12">
        <x:v>46340</x:v>
      </x:c>
      <x:c r="B28" t="n">
        <x:f>SUMIF(Bookings!$A$5:$A$76,$A28,Bookings!$E$5:$E$76)</x:f>
        <x:v>1400</x:v>
      </x:c>
      <x:c r="C28" t="n">
        <x:f>SUMIF(Bookings!$A$5:$A$76,$A28,Bookings!$F$5:$F$76)</x:f>
        <x:v>784</x:v>
      </x:c>
      <x:c r="D28" s="5">
        <x:f t="shared" si="2"/>
        <x:v>0.56000000000000005</x:v>
      </x:c>
      <x:c r="E28" s="21" t="n">
        <x:f>SUMIF(Bookings!$A$5:$A$76,$A28,Bookings!$O$5:$O$76)</x:f>
        <x:v>496894</x:v>
      </x:c>
    </x:row>
    <x:row r="29">
      <x:c r="A29" s="12">
        <x:v>46347</x:v>
      </x:c>
      <x:c r="B29" t="n">
        <x:f>SUMIF(Bookings!$A$5:$A$76,$A29,Bookings!$E$5:$E$76)</x:f>
        <x:v>1320</x:v>
      </x:c>
      <x:c r="C29" t="n">
        <x:f>SUMIF(Bookings!$A$5:$A$76,$A29,Bookings!$F$5:$F$76)</x:f>
        <x:v>757</x:v>
      </x:c>
      <x:c r="D29" s="5">
        <x:f t="shared" si="2"/>
        <x:v>0.57348484848484849</x:v>
      </x:c>
      <x:c r="E29" s="21" t="n">
        <x:f>SUMIF(Bookings!$A$5:$A$76,$A29,Bookings!$O$5:$O$76)</x:f>
        <x:v>497408</x:v>
      </x:c>
    </x:row>
    <x:row r="30">
      <x:c r="A30" s="12">
        <x:v>46354</x:v>
      </x:c>
      <x:c r="B30" t="n">
        <x:f>SUMIF(Bookings!$A$5:$A$76,$A30,Bookings!$E$5:$E$76)</x:f>
        <x:v>1442</x:v>
      </x:c>
      <x:c r="C30" t="n">
        <x:f>SUMIF(Bookings!$A$5:$A$76,$A30,Bookings!$F$5:$F$76)</x:f>
        <x:v>764</x:v>
      </x:c>
      <x:c r="D30" s="5">
        <x:f t="shared" si="2"/>
        <x:v>0.52981969486823854</x:v>
      </x:c>
      <x:c r="E30" s="21" t="n">
        <x:f>SUMIF(Bookings!$A$5:$A$76,$A30,Bookings!$O$5:$O$76)</x:f>
        <x:v>502145</x:v>
      </x:c>
    </x:row>
    <x:row r="31">
      <x:c r="A31" s="12">
        <x:v>46361</x:v>
      </x:c>
      <x:c r="B31" t="n">
        <x:f>SUMIF(Bookings!$A$5:$A$76,$A31,Bookings!$E$5:$E$76)</x:f>
        <x:v>1286</x:v>
      </x:c>
      <x:c r="C31" t="n">
        <x:f>SUMIF(Bookings!$A$5:$A$76,$A31,Bookings!$F$5:$F$76)</x:f>
        <x:v>533</x:v>
      </x:c>
      <x:c r="D31" s="5">
        <x:f t="shared" si="2"/>
        <x:v>0.4144634525660964</x:v>
      </x:c>
      <x:c r="E31" s="21" t="n">
        <x:f>SUMIF(Bookings!$A$5:$A$76,$A31,Bookings!$O$5:$O$76)</x:f>
        <x:v>333977</x:v>
      </x:c>
    </x:row>
    <x:row r="32">
      <x:c r="A32" s="12">
        <x:v>46368</x:v>
      </x:c>
      <x:c r="B32" t="n">
        <x:f>SUMIF(Bookings!$A$5:$A$76,$A32,Bookings!$E$5:$E$76)</x:f>
        <x:v>1510</x:v>
      </x:c>
      <x:c r="C32" t="n">
        <x:f>SUMIF(Bookings!$A$5:$A$76,$A32,Bookings!$F$5:$F$76)</x:f>
        <x:v>600</x:v>
      </x:c>
      <x:c r="D32" s="5">
        <x:f t="shared" si="2"/>
        <x:v>0.39735099337748342</x:v>
      </x:c>
      <x:c r="E32" s="21" t="n">
        <x:f>SUMIF(Bookings!$A$5:$A$76,$A32,Bookings!$O$5:$O$76)</x:f>
        <x:v>405782</x:v>
      </x:c>
    </x:row>
    <x:row r="33">
      <x:c r="A33" s="12">
        <x:v>46375</x:v>
      </x:c>
      <x:c r="B33" t="n">
        <x:f>SUMIF(Bookings!$A$5:$A$76,$A33,Bookings!$E$5:$E$76)</x:f>
        <x:v>1524</x:v>
      </x:c>
      <x:c r="C33" t="n">
        <x:f>SUMIF(Bookings!$A$5:$A$76,$A33,Bookings!$F$5:$F$76)</x:f>
        <x:v>526</x:v>
      </x:c>
      <x:c r="D33" s="5">
        <x:f t="shared" si="2"/>
        <x:v>0.34514435695538059</x:v>
      </x:c>
      <x:c r="E33" s="21" t="n">
        <x:f>SUMIF(Bookings!$A$5:$A$76,$A33,Bookings!$O$5:$O$76)</x:f>
        <x:v>320882</x:v>
      </x:c>
    </x:row>
    <x:row r="34">
      <x:c r="A34" s="12">
        <x:v>46382</x:v>
      </x:c>
      <x:c r="B34" t="n">
        <x:f>SUMIF(Bookings!$A$5:$A$76,$A34,Bookings!$E$5:$E$76)</x:f>
        <x:v>1646</x:v>
      </x:c>
      <x:c r="C34" t="n">
        <x:f>SUMIF(Bookings!$A$5:$A$76,$A34,Bookings!$F$5:$F$76)</x:f>
        <x:v>310</x:v>
      </x:c>
      <x:c r="D34" s="5">
        <x:f t="shared" si="2"/>
        <x:v>0.18833535844471447</x:v>
      </x:c>
      <x:c r="E34" s="21" t="n">
        <x:f>SUMIF(Bookings!$A$5:$A$76,$A34,Bookings!$O$5:$O$76)</x:f>
        <x:v>189820</x:v>
      </x:c>
    </x:row>
    <x:row r="35">
      <x:c r="A35" s="12">
        <x:v>46389</x:v>
      </x:c>
      <x:c r="B35" t="n">
        <x:f>SUMIF(Bookings!$A$5:$A$76,$A35,Bookings!$E$5:$E$76)</x:f>
        <x:v>1484</x:v>
      </x:c>
      <x:c r="C35" t="n">
        <x:f>SUMIF(Bookings!$A$5:$A$76,$A35,Bookings!$F$5:$F$76)</x:f>
        <x:v>411</x:v>
      </x:c>
      <x:c r="D35" s="5">
        <x:f t="shared" si="2"/>
        <x:v>0.27695417789757415</x:v>
      </x:c>
      <x:c r="E35" s="21" t="n">
        <x:f>SUMIF(Bookings!$A$5:$A$76,$A35,Bookings!$O$5:$O$76)</x:f>
        <x:v>268598</x:v>
      </x:c>
    </x:row>
  </x:sheetData>
  <x:mergeCells>
    <x:mergeCell ref="A1:S2"/>
    <x:mergeCell ref="A3:S3"/>
  </x:mergeCells>
  <x:conditionalFormatting sqref="D14:D19">
    <x:cfRule type="dataBar" priority="1">
      <x:dataBar>
        <x:cfvo type="min"/>
        <x:cfvo type="max"/>
        <x:color rgb="FF2F93B4"/>
      </x:dataBar>
    </x:cfRule>
    <x:cfRule type="dataBar" priority="3">
      <x:dataBar>
        <x:cfvo type="min"/>
        <x:cfvo type="max"/>
        <x:color rgb="FF2F93B4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I14:I19">
    <x:cfRule type="cellIs" dxfId="7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62b083516b5414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5D2A047-4238-8741-E2B3-85669B88D1C8}">
            <x14:dataBar>
              <x14:cfvo type="min"/>
              <x14:cfvo type="max"/>
              <x14:fillColor rgb="FF2F93B4"/>
              <x14:negativeFillColor auto="1"/>
              <x14:axisColor auto="1"/>
            </x14:dataBar>
          </x14:cfRule>
          <xm:sqref>D14:D19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.25"/>
  <x:cols>
    <x:col min="1" max="1" width="11.875" customWidth="1"/>
    <x:col min="2" max="2" width="13" customWidth="1"/>
    <x:col min="3" max="3" width="9.25" customWidth="1"/>
    <x:col min="4" max="4" width="15.75" customWidth="1"/>
    <x:col min="5" max="5" width="14.5" customWidth="1"/>
    <x:col min="6" max="6" width="12.125" customWidth="1"/>
    <x:col min="7" max="7" width="18" customWidth="1"/>
    <x:col min="8" max="8" width="18.625" customWidth="1"/>
    <x:col min="9" max="9" width="18.25" customWidth="1"/>
    <x:col min="10" max="10" width="13.25" customWidth="1"/>
    <x:col min="11" max="11" width="15.625" customWidth="1"/>
    <x:col min="12" max="12" width="12.875" customWidth="1"/>
    <x:col min="13" max="13" width="17.25" customWidth="1"/>
    <x:col min="14" max="14" width="20.625" customWidth="1"/>
    <x:col min="15" max="15" width="20.75" customWidth="1"/>
    <x:col min="16" max="16" width="24.125" customWidth="1"/>
    <x:col min="17" max="17" width="16.75" customWidth="1"/>
    <x:col min="18" max="18" width="15.375" customWidth="1"/>
  </x:cols>
  <x:sheetData>
    <x:row r="1" ht="15">
      <x:c r="A1" s="3" t="s">
        <x:v>25</x:v>
      </x:c>
    </x:row>
    <x:row r="3">
      <x:c r="A3" t="s">
        <x:v>26</x:v>
      </x:c>
      <x:c r="B3" t="s">
        <x:v>10</x:v>
      </x:c>
      <x:c r="C3" t="s">
        <x:v>27</x:v>
      </x:c>
      <x:c r="D3" t="s">
        <x:v>28</x:v>
      </x:c>
      <x:c r="E3" t="s">
        <x:v>4</x:v>
      </x:c>
      <x:c r="F3" t="s">
        <x:v>3</x:v>
      </x:c>
      <x:c r="G3" t="s">
        <x:v>29</x:v>
      </x:c>
      <x:c r="H3" t="s">
        <x:v>30</x:v>
      </x:c>
      <x:c r="I3" t="s">
        <x:v>31</x:v>
      </x:c>
      <x:c r="J3" t="s">
        <x:v>32</x:v>
      </x:c>
      <x:c r="K3" t="s">
        <x:v>33</x:v>
      </x:c>
      <x:c r="L3" t="s">
        <x:v>12</x:v>
      </x:c>
      <x:c r="M3" t="s">
        <x:v>34</x:v>
      </x:c>
      <x:c r="N3" t="s">
        <x:v>35</x:v>
      </x:c>
      <x:c r="O3" t="s">
        <x:v>36</x:v>
      </x:c>
      <x:c r="P3" t="s">
        <x:v>37</x:v>
      </x:c>
      <x:c r="Q3" t="s">
        <x:v>38</x:v>
      </x:c>
      <x:c r="R3" t="s">
        <x:v>39</x:v>
      </x:c>
    </x:row>
    <x:row r="4">
      <x:c r="A4" s="37">
        <x:v>46312</x:v>
      </x:c>
      <x:c r="B4" t="s">
        <x:v>20</x:v>
      </x:c>
      <x:c r="C4" t="s">
        <x:v>40</x:v>
      </x:c>
      <x:c r="D4">
        <x:v>7</x:v>
      </x:c>
      <x:c r="E4">
        <x:v>214</x:v>
      </x:c>
      <x:c r="F4">
        <x:v>175</x:v>
      </x:c>
      <x:c r="G4">
        <x:v>12</x:v>
      </x:c>
      <x:c r="H4">
        <x:v>14</x:v>
      </x:c>
      <x:c r="I4">
        <x:v>737</x:v>
      </x:c>
      <x:c r="J4">
        <x:v>461</x:v>
      </x:c>
      <x:c r="K4">
        <x:v>788</x:v>
      </x:c>
      <x:c r="L4">
        <x:v>0.81775700934579443</x:v>
      </x:c>
      <x:c r="M4">
        <x:v>39</x:v>
      </x:c>
      <x:c r="N4">
        <x:v>-0.1428571428571429</x:v>
      </x:c>
      <x:c r="O4">
        <x:v>128975</x:v>
      </x:c>
      <x:c r="P4">
        <x:v>48300</x:v>
      </x:c>
      <x:c r="Q4">
        <x:v>-6.4720812182741172E-2</x:v>
      </x:c>
      <x:c r="R4" t="s">
        <x:v>41</x:v>
      </x:c>
    </x:row>
    <x:row r="5">
      <x:c r="A5" s="37">
        <x:v>46319</x:v>
      </x:c>
      <x:c r="B5" t="s">
        <x:v>20</x:v>
      </x:c>
      <x:c r="C5" t="s">
        <x:v>40</x:v>
      </x:c>
      <x:c r="D5">
        <x:v>14</x:v>
      </x:c>
      <x:c r="E5">
        <x:v>304</x:v>
      </x:c>
      <x:c r="F5">
        <x:v>243</x:v>
      </x:c>
      <x:c r="G5">
        <x:v>15</x:v>
      </x:c>
      <x:c r="H5">
        <x:v>12</x:v>
      </x:c>
      <x:c r="I5">
        <x:v>738</x:v>
      </x:c>
      <x:c r="J5">
        <x:v>455</x:v>
      </x:c>
      <x:c r="K5">
        <x:v>806</x:v>
      </x:c>
      <x:c r="L5">
        <x:v>0.79934210526315785</x:v>
      </x:c>
      <x:c r="M5">
        <x:v>61</x:v>
      </x:c>
      <x:c r="N5">
        <x:v>0.25</x:v>
      </x:c>
      <x:c r="O5">
        <x:v>179334</x:v>
      </x:c>
      <x:c r="P5">
        <x:v>68769</x:v>
      </x:c>
      <x:c r="Q5">
        <x:v>-8.4367245657568257E-2</x:v>
      </x:c>
      <x:c r="R5" t="s">
        <x:v>42</x:v>
      </x:c>
    </x:row>
    <x:row r="6">
      <x:c r="A6" s="37">
        <x:v>46326</x:v>
      </x:c>
      <x:c r="B6" t="s">
        <x:v>20</x:v>
      </x:c>
      <x:c r="C6" t="s">
        <x:v>40</x:v>
      </x:c>
      <x:c r="D6">
        <x:v>21</x:v>
      </x:c>
      <x:c r="E6">
        <x:v>186</x:v>
      </x:c>
      <x:c r="F6">
        <x:v>145</x:v>
      </x:c>
      <x:c r="G6">
        <x:v>20</x:v>
      </x:c>
      <x:c r="H6">
        <x:v>21</x:v>
      </x:c>
      <x:c r="I6">
        <x:v>734</x:v>
      </x:c>
      <x:c r="J6">
        <x:v>442</x:v>
      </x:c>
      <x:c r="K6">
        <x:v>744</x:v>
      </x:c>
      <x:c r="L6">
        <x:v>0.77956989247311825</x:v>
      </x:c>
      <x:c r="M6">
        <x:v>41</x:v>
      </x:c>
      <x:c r="N6">
        <x:v>-4.7619047619047672E-2</x:v>
      </x:c>
      <x:c r="O6">
        <x:v>106430</x:v>
      </x:c>
      <x:c r="P6">
        <x:v>42340</x:v>
      </x:c>
      <x:c r="Q6">
        <x:v>-1.3440860215053752E-2</x:v>
      </x:c>
      <x:c r="R6" t="s">
        <x:v>41</x:v>
      </x:c>
    </x:row>
    <x:row r="7">
      <x:c r="A7" s="37">
        <x:v>46333</x:v>
      </x:c>
      <x:c r="B7" t="s">
        <x:v>20</x:v>
      </x:c>
      <x:c r="C7" t="s">
        <x:v>40</x:v>
      </x:c>
      <x:c r="D7">
        <x:v>28</x:v>
      </x:c>
      <x:c r="E7">
        <x:v>304</x:v>
      </x:c>
      <x:c r="F7">
        <x:v>171</x:v>
      </x:c>
      <x:c r="G7">
        <x:v>33</x:v>
      </x:c>
      <x:c r="H7">
        <x:v>34</x:v>
      </x:c>
      <x:c r="I7">
        <x:v>652</x:v>
      </x:c>
      <x:c r="J7">
        <x:v>459</x:v>
      </x:c>
      <x:c r="K7">
        <x:v>589</x:v>
      </x:c>
      <x:c r="L7">
        <x:v>0.5625</x:v>
      </x:c>
      <x:c r="M7">
        <x:v>133</x:v>
      </x:c>
      <x:c r="N7">
        <x:v>-2.9411764705882359E-2</x:v>
      </x:c>
      <x:c r="O7">
        <x:v>111492</x:v>
      </x:c>
      <x:c r="P7">
        <x:v>33003</x:v>
      </x:c>
      <x:c r="Q7">
        <x:v>0.1069609507640068</x:v>
      </x:c>
      <x:c r="R7" t="s">
        <x:v>41</x:v>
      </x:c>
    </x:row>
    <x:row r="8">
      <x:c r="A8" s="37">
        <x:v>46340</x:v>
      </x:c>
      <x:c r="B8" t="s">
        <x:v>20</x:v>
      </x:c>
      <x:c r="C8" t="s">
        <x:v>40</x:v>
      </x:c>
      <x:c r="D8">
        <x:v>35</x:v>
      </x:c>
      <x:c r="E8">
        <x:v>286</x:v>
      </x:c>
      <x:c r="F8">
        <x:v>156</x:v>
      </x:c>
      <x:c r="G8">
        <x:v>32</x:v>
      </x:c>
      <x:c r="H8">
        <x:v>28</x:v>
      </x:c>
      <x:c r="I8">
        <x:v>680</x:v>
      </x:c>
      <x:c r="J8">
        <x:v>422</x:v>
      </x:c>
      <x:c r="K8">
        <x:v>646</x:v>
      </x:c>
      <x:c r="L8">
        <x:v>0.54545454545454541</x:v>
      </x:c>
      <x:c r="M8">
        <x:v>130</x:v>
      </x:c>
      <x:c r="N8">
        <x:v>0.14285714285714279</x:v>
      </x:c>
      <x:c r="O8">
        <x:v>106080</x:v>
      </x:c>
      <x:c r="P8">
        <x:v>40248</x:v>
      </x:c>
      <x:c r="Q8">
        <x:v>5.2631578947368363E-2</x:v>
      </x:c>
      <x:c r="R8" t="s">
        <x:v>41</x:v>
      </x:c>
    </x:row>
    <x:row r="9">
      <x:c r="A9" s="37">
        <x:v>46347</x:v>
      </x:c>
      <x:c r="B9" t="s">
        <x:v>20</x:v>
      </x:c>
      <x:c r="C9" t="s">
        <x:v>40</x:v>
      </x:c>
      <x:c r="D9">
        <x:v>42</x:v>
      </x:c>
      <x:c r="E9">
        <x:v>252</x:v>
      </x:c>
      <x:c r="F9">
        <x:v>134</x:v>
      </x:c>
      <x:c r="G9">
        <x:v>37</x:v>
      </x:c>
      <x:c r="H9">
        <x:v>26</x:v>
      </x:c>
      <x:c r="I9">
        <x:v>741</x:v>
      </x:c>
      <x:c r="J9">
        <x:v>459</x:v>
      </x:c>
      <x:c r="K9">
        <x:v>800</x:v>
      </x:c>
      <x:c r="L9">
        <x:v>0.53174603174603174</x:v>
      </x:c>
      <x:c r="M9">
        <x:v>118</x:v>
      </x:c>
      <x:c r="N9">
        <x:v>0.42307692307692313</x:v>
      </x:c>
      <x:c r="O9">
        <x:v>99294</x:v>
      </x:c>
      <x:c r="P9">
        <x:v>37788</x:v>
      </x:c>
      <x:c r="Q9">
        <x:v>-7.3749999999999982E-2</x:v>
      </x:c>
      <x:c r="R9" t="s">
        <x:v>41</x:v>
      </x:c>
    </x:row>
    <x:row r="10">
      <x:c r="A10" s="37">
        <x:v>46354</x:v>
      </x:c>
      <x:c r="B10" t="s">
        <x:v>20</x:v>
      </x:c>
      <x:c r="C10" t="s">
        <x:v>40</x:v>
      </x:c>
      <x:c r="D10">
        <x:v>49</x:v>
      </x:c>
      <x:c r="E10">
        <x:v>168</x:v>
      </x:c>
      <x:c r="F10">
        <x:v>96</x:v>
      </x:c>
      <x:c r="G10">
        <x:v>26</x:v>
      </x:c>
      <x:c r="H10">
        <x:v>19</x:v>
      </x:c>
      <x:c r="I10">
        <x:v>620</x:v>
      </x:c>
      <x:c r="J10">
        <x:v>440</x:v>
      </x:c>
      <x:c r="K10">
        <x:v>622</x:v>
      </x:c>
      <x:c r="L10">
        <x:v>0.5714285714285714</x:v>
      </x:c>
      <x:c r="M10">
        <x:v>72</x:v>
      </x:c>
      <x:c r="N10">
        <x:v>0.36842105263157898</x:v>
      </x:c>
      <x:c r="O10">
        <x:v>59520</x:v>
      </x:c>
      <x:c r="P10">
        <x:v>17280</x:v>
      </x:c>
      <x:c r="Q10">
        <x:v>-3.215434083601254E-3</x:v>
      </x:c>
      <x:c r="R10" t="s">
        <x:v>41</x:v>
      </x:c>
    </x:row>
    <x:row r="11">
      <x:c r="A11" s="37">
        <x:v>46361</x:v>
      </x:c>
      <x:c r="B11" t="s">
        <x:v>20</x:v>
      </x:c>
      <x:c r="C11" t="s">
        <x:v>40</x:v>
      </x:c>
      <x:c r="D11">
        <x:v>56</x:v>
      </x:c>
      <x:c r="E11">
        <x:v>186</x:v>
      </x:c>
      <x:c r="F11">
        <x:v>59</x:v>
      </x:c>
      <x:c r="G11">
        <x:v>18</x:v>
      </x:c>
      <x:c r="H11">
        <x:v>20</x:v>
      </x:c>
      <x:c r="I11">
        <x:v>747</x:v>
      </x:c>
      <x:c r="J11">
        <x:v>428</x:v>
      </x:c>
      <x:c r="K11">
        <x:v>778</x:v>
      </x:c>
      <x:c r="L11">
        <x:v>0.31720430107526881</x:v>
      </x:c>
      <x:c r="M11">
        <x:v>127</x:v>
      </x:c>
      <x:c r="N11">
        <x:v>-9.9999999999999978E-2</x:v>
      </x:c>
      <x:c r="O11">
        <x:v>44073</x:v>
      </x:c>
      <x:c r="P11">
        <x:v>18821</x:v>
      </x:c>
      <x:c r="Q11">
        <x:v>-3.9845758354755789E-2</x:v>
      </x:c>
      <x:c r="R11" t="s">
        <x:v>41</x:v>
      </x:c>
    </x:row>
    <x:row r="12">
      <x:c r="A12" s="37">
        <x:v>46368</x:v>
      </x:c>
      <x:c r="B12" t="s">
        <x:v>20</x:v>
      </x:c>
      <x:c r="C12" t="s">
        <x:v>40</x:v>
      </x:c>
      <x:c r="D12">
        <x:v>63</x:v>
      </x:c>
      <x:c r="E12">
        <x:v>286</x:v>
      </x:c>
      <x:c r="F12">
        <x:v>142</x:v>
      </x:c>
      <x:c r="G12">
        <x:v>38</x:v>
      </x:c>
      <x:c r="H12">
        <x:v>35</x:v>
      </x:c>
      <x:c r="I12">
        <x:v>614</x:v>
      </x:c>
      <x:c r="J12">
        <x:v>430</x:v>
      </x:c>
      <x:c r="K12">
        <x:v>552</x:v>
      </x:c>
      <x:c r="L12">
        <x:v>0.49650349650349651</x:v>
      </x:c>
      <x:c r="M12">
        <x:v>144</x:v>
      </x:c>
      <x:c r="N12">
        <x:v>8.5714285714285632E-2</x:v>
      </x:c>
      <x:c r="O12">
        <x:v>87188</x:v>
      </x:c>
      <x:c r="P12">
        <x:v>26128</x:v>
      </x:c>
      <x:c r="Q12">
        <x:v>0.1123188405797102</x:v>
      </x:c>
      <x:c r="R12" t="s">
        <x:v>41</x:v>
      </x:c>
    </x:row>
    <x:row r="13">
      <x:c r="A13" s="37">
        <x:v>46375</x:v>
      </x:c>
      <x:c r="B13" t="s">
        <x:v>20</x:v>
      </x:c>
      <x:c r="C13" t="s">
        <x:v>40</x:v>
      </x:c>
      <x:c r="D13">
        <x:v>70</x:v>
      </x:c>
      <x:c r="E13">
        <x:v>286</x:v>
      </x:c>
      <x:c r="F13">
        <x:v>120</x:v>
      </x:c>
      <x:c r="G13">
        <x:v>30</x:v>
      </x:c>
      <x:c r="H13">
        <x:v>44</x:v>
      </x:c>
      <x:c r="I13">
        <x:v>616</x:v>
      </x:c>
      <x:c r="J13">
        <x:v>448</x:v>
      </x:c>
      <x:c r="K13">
        <x:v>586</x:v>
      </x:c>
      <x:c r="L13">
        <x:v>0.41958041958041958</x:v>
      </x:c>
      <x:c r="M13">
        <x:v>166</x:v>
      </x:c>
      <x:c r="N13">
        <x:v>-0.31818181818181823</x:v>
      </x:c>
      <x:c r="O13">
        <x:v>73920</x:v>
      </x:c>
      <x:c r="P13">
        <x:v>20160</x:v>
      </x:c>
      <x:c r="Q13">
        <x:v>5.1194539249146853E-2</x:v>
      </x:c>
      <x:c r="R13" t="s">
        <x:v>41</x:v>
      </x:c>
    </x:row>
    <x:row r="14">
      <x:c r="A14" s="37">
        <x:v>46382</x:v>
      </x:c>
      <x:c r="B14" t="s">
        <x:v>20</x:v>
      </x:c>
      <x:c r="C14" t="s">
        <x:v>40</x:v>
      </x:c>
      <x:c r="D14">
        <x:v>77</x:v>
      </x:c>
      <x:c r="E14">
        <x:v>286</x:v>
      </x:c>
      <x:c r="F14">
        <x:v>46</x:v>
      </x:c>
      <x:c r="G14">
        <x:v>68</x:v>
      </x:c>
      <x:c r="H14">
        <x:v>83</x:v>
      </x:c>
      <x:c r="I14">
        <x:v>617</x:v>
      </x:c>
      <x:c r="J14">
        <x:v>417</x:v>
      </x:c>
      <x:c r="K14">
        <x:v>604</x:v>
      </x:c>
      <x:c r="L14">
        <x:v>0.16083916083916083</x:v>
      </x:c>
      <x:c r="M14">
        <x:v>240</x:v>
      </x:c>
      <x:c r="N14">
        <x:v>-0.18072289156626509</x:v>
      </x:c>
      <x:c r="O14">
        <x:v>28382</x:v>
      </x:c>
      <x:c r="P14">
        <x:v>9200</x:v>
      </x:c>
      <x:c r="Q14">
        <x:v>2.1523178807947074E-2</x:v>
      </x:c>
      <x:c r="R14" t="s">
        <x:v>41</x:v>
      </x:c>
    </x:row>
    <x:row r="15">
      <x:c r="A15" s="37">
        <x:v>46389</x:v>
      </x:c>
      <x:c r="B15" t="s">
        <x:v>20</x:v>
      </x:c>
      <x:c r="C15" t="s">
        <x:v>40</x:v>
      </x:c>
      <x:c r="D15">
        <x:v>84</x:v>
      </x:c>
      <x:c r="E15">
        <x:v>186</x:v>
      </x:c>
      <x:c r="F15">
        <x:v>33</x:v>
      </x:c>
      <x:c r="G15">
        <x:v>47</x:v>
      </x:c>
      <x:c r="H15">
        <x:v>42</x:v>
      </x:c>
      <x:c r="I15">
        <x:v>644</x:v>
      </x:c>
      <x:c r="J15">
        <x:v>461</x:v>
      </x:c>
      <x:c r="K15">
        <x:v>595</x:v>
      </x:c>
      <x:c r="L15">
        <x:v>0.17741935483870969</x:v>
      </x:c>
      <x:c r="M15">
        <x:v>153</x:v>
      </x:c>
      <x:c r="N15">
        <x:v>0.11904761904761907</x:v>
      </x:c>
      <x:c r="O15">
        <x:v>21252</x:v>
      </x:c>
      <x:c r="P15">
        <x:v>6039</x:v>
      </x:c>
      <x:c r="Q15">
        <x:v>8.2352941176470518E-2</x:v>
      </x:c>
      <x:c r="R15" t="s">
        <x:v>41</x:v>
      </x:c>
    </x:row>
    <x:row r="16">
      <x:c r="A16" s="37">
        <x:v>46312</x:v>
      </x:c>
      <x:c r="B16" t="s">
        <x:v>19</x:v>
      </x:c>
      <x:c r="C16" t="s">
        <x:v>43</x:v>
      </x:c>
      <x:c r="D16">
        <x:v>7</x:v>
      </x:c>
      <x:c r="E16">
        <x:v>186</x:v>
      </x:c>
      <x:c r="F16">
        <x:v>140</x:v>
      </x:c>
      <x:c r="G16">
        <x:v>20</x:v>
      </x:c>
      <x:c r="H16">
        <x:v>20</x:v>
      </x:c>
      <x:c r="I16">
        <x:v>488</x:v>
      </x:c>
      <x:c r="J16">
        <x:v>333</x:v>
      </x:c>
      <x:c r="K16">
        <x:v>494</x:v>
      </x:c>
      <x:c r="L16">
        <x:v>0.75268817204301075</x:v>
      </x:c>
      <x:c r="M16">
        <x:v>46</x:v>
      </x:c>
      <x:c r="N16">
        <x:v>0</x:v>
      </x:c>
      <x:c r="O16">
        <x:v>68320</x:v>
      </x:c>
      <x:c r="P16">
        <x:v>21700</x:v>
      </x:c>
      <x:c r="Q16">
        <x:v>-1.2145748987854255E-2</x:v>
      </x:c>
      <x:c r="R16" t="s">
        <x:v>41</x:v>
      </x:c>
    </x:row>
    <x:row r="17">
      <x:c r="A17" s="37">
        <x:v>46319</x:v>
      </x:c>
      <x:c r="B17" t="s">
        <x:v>19</x:v>
      </x:c>
      <x:c r="C17" t="s">
        <x:v>43</x:v>
      </x:c>
      <x:c r="D17">
        <x:v>14</x:v>
      </x:c>
      <x:c r="E17">
        <x:v>304</x:v>
      </x:c>
      <x:c r="F17">
        <x:v>219</x:v>
      </x:c>
      <x:c r="G17">
        <x:v>13</x:v>
      </x:c>
      <x:c r="H17">
        <x:v>10</x:v>
      </x:c>
      <x:c r="I17">
        <x:v>564</x:v>
      </x:c>
      <x:c r="J17">
        <x:v>319</x:v>
      </x:c>
      <x:c r="K17">
        <x:v>614</x:v>
      </x:c>
      <x:c r="L17">
        <x:v>0.72039473684210531</x:v>
      </x:c>
      <x:c r="M17">
        <x:v>85</x:v>
      </x:c>
      <x:c r="N17">
        <x:v>0.30000000000000004</x:v>
      </x:c>
      <x:c r="O17">
        <x:v>123516</x:v>
      </x:c>
      <x:c r="P17">
        <x:v>53655</x:v>
      </x:c>
      <x:c r="Q17">
        <x:v>-8.1433224755700362E-2</x:v>
      </x:c>
      <x:c r="R17" t="s">
        <x:v>41</x:v>
      </x:c>
    </x:row>
    <x:row r="18">
      <x:c r="A18" s="37">
        <x:v>46326</x:v>
      </x:c>
      <x:c r="B18" t="s">
        <x:v>19</x:v>
      </x:c>
      <x:c r="C18" t="s">
        <x:v>43</x:v>
      </x:c>
      <x:c r="D18">
        <x:v>21</x:v>
      </x:c>
      <x:c r="E18">
        <x:v>252</x:v>
      </x:c>
      <x:c r="F18">
        <x:v>211</x:v>
      </x:c>
      <x:c r="G18">
        <x:v>14</x:v>
      </x:c>
      <x:c r="H18">
        <x:v>11</x:v>
      </x:c>
      <x:c r="I18">
        <x:v>559</x:v>
      </x:c>
      <x:c r="J18">
        <x:v>334</x:v>
      </x:c>
      <x:c r="K18">
        <x:v>504</x:v>
      </x:c>
      <x:c r="L18">
        <x:v>0.83730158730158732</x:v>
      </x:c>
      <x:c r="M18">
        <x:v>41</x:v>
      </x:c>
      <x:c r="N18">
        <x:v>0.27272727272727271</x:v>
      </x:c>
      <x:c r="O18">
        <x:v>117949</x:v>
      </x:c>
      <x:c r="P18">
        <x:v>47475</x:v>
      </x:c>
      <x:c r="Q18">
        <x:v>0.10912698412698418</x:v>
      </x:c>
      <x:c r="R18" t="s">
        <x:v>42</x:v>
      </x:c>
    </x:row>
    <x:row r="19">
      <x:c r="A19" s="37">
        <x:v>46333</x:v>
      </x:c>
      <x:c r="B19" t="s">
        <x:v>19</x:v>
      </x:c>
      <x:c r="C19" t="s">
        <x:v>43</x:v>
      </x:c>
      <x:c r="D19">
        <x:v>28</x:v>
      </x:c>
      <x:c r="E19">
        <x:v>186</x:v>
      </x:c>
      <x:c r="F19">
        <x:v>152</x:v>
      </x:c>
      <x:c r="G19">
        <x:v>9</x:v>
      </x:c>
      <x:c r="H19">
        <x:v>10</x:v>
      </x:c>
      <x:c r="I19">
        <x:v>569</x:v>
      </x:c>
      <x:c r="J19">
        <x:v>331</x:v>
      </x:c>
      <x:c r="K19">
        <x:v>577</x:v>
      </x:c>
      <x:c r="L19">
        <x:v>0.81720430107526887</x:v>
      </x:c>
      <x:c r="M19">
        <x:v>34</x:v>
      </x:c>
      <x:c r="N19">
        <x:v>-9.9999999999999978E-2</x:v>
      </x:c>
      <x:c r="O19">
        <x:v>86488</x:v>
      </x:c>
      <x:c r="P19">
        <x:v>36176</x:v>
      </x:c>
      <x:c r="Q19">
        <x:v>-1.3864818024263426E-2</x:v>
      </x:c>
      <x:c r="R19" t="s">
        <x:v>41</x:v>
      </x:c>
    </x:row>
    <x:row r="20">
      <x:c r="A20" s="37">
        <x:v>46340</x:v>
      </x:c>
      <x:c r="B20" t="s">
        <x:v>19</x:v>
      </x:c>
      <x:c r="C20" t="s">
        <x:v>43</x:v>
      </x:c>
      <x:c r="D20">
        <x:v>35</x:v>
      </x:c>
      <x:c r="E20">
        <x:v>286</x:v>
      </x:c>
      <x:c r="F20">
        <x:v>146</x:v>
      </x:c>
      <x:c r="G20">
        <x:v>25</x:v>
      </x:c>
      <x:c r="H20">
        <x:v>38</x:v>
      </x:c>
      <x:c r="I20">
        <x:v>481</x:v>
      </x:c>
      <x:c r="J20">
        <x:v>320</x:v>
      </x:c>
      <x:c r="K20">
        <x:v>518</x:v>
      </x:c>
      <x:c r="L20">
        <x:v>0.51048951048951052</x:v>
      </x:c>
      <x:c r="M20">
        <x:v>140</x:v>
      </x:c>
      <x:c r="N20">
        <x:v>-0.34210526315789469</x:v>
      </x:c>
      <x:c r="O20">
        <x:v>70226</x:v>
      </x:c>
      <x:c r="P20">
        <x:v>23506</x:v>
      </x:c>
      <x:c r="Q20">
        <x:v>-7.1428571428571397E-2</x:v>
      </x:c>
      <x:c r="R20" t="s">
        <x:v>41</x:v>
      </x:c>
    </x:row>
    <x:row r="21">
      <x:c r="A21" s="37">
        <x:v>46347</x:v>
      </x:c>
      <x:c r="B21" t="s">
        <x:v>19</x:v>
      </x:c>
      <x:c r="C21" t="s">
        <x:v>43</x:v>
      </x:c>
      <x:c r="D21">
        <x:v>42</x:v>
      </x:c>
      <x:c r="E21">
        <x:v>286</x:v>
      </x:c>
      <x:c r="F21">
        <x:v>135</x:v>
      </x:c>
      <x:c r="G21">
        <x:v>25</x:v>
      </x:c>
      <x:c r="H21">
        <x:v>39</x:v>
      </x:c>
      <x:c r="I21">
        <x:v>589</x:v>
      </x:c>
      <x:c r="J21">
        <x:v>333</x:v>
      </x:c>
      <x:c r="K21">
        <x:v>656</x:v>
      </x:c>
      <x:c r="L21">
        <x:v>0.47202797202797203</x:v>
      </x:c>
      <x:c r="M21">
        <x:v>151</x:v>
      </x:c>
      <x:c r="N21">
        <x:v>-0.35897435897435892</x:v>
      </x:c>
      <x:c r="O21">
        <x:v>79515</x:v>
      </x:c>
      <x:c r="P21">
        <x:v>34560</x:v>
      </x:c>
      <x:c r="Q21">
        <x:v>-0.10213414634146345</x:v>
      </x:c>
      <x:c r="R21" t="s">
        <x:v>41</x:v>
      </x:c>
    </x:row>
    <x:row r="22">
      <x:c r="A22" s="37">
        <x:v>46354</x:v>
      </x:c>
      <x:c r="B22" t="s">
        <x:v>19</x:v>
      </x:c>
      <x:c r="C22" t="s">
        <x:v>43</x:v>
      </x:c>
      <x:c r="D22">
        <x:v>49</x:v>
      </x:c>
      <x:c r="E22">
        <x:v>228</x:v>
      </x:c>
      <x:c r="F22">
        <x:v>101</x:v>
      </x:c>
      <x:c r="G22">
        <x:v>34</x:v>
      </x:c>
      <x:c r="H22">
        <x:v>31</x:v>
      </x:c>
      <x:c r="I22">
        <x:v>616</x:v>
      </x:c>
      <x:c r="J22">
        <x:v>317</x:v>
      </x:c>
      <x:c r="K22">
        <x:v>586</x:v>
      </x:c>
      <x:c r="L22">
        <x:v>0.44298245614035087</x:v>
      </x:c>
      <x:c r="M22">
        <x:v>127</x:v>
      </x:c>
      <x:c r="N22">
        <x:v>9.6774193548387011E-2</x:v>
      </x:c>
      <x:c r="O22">
        <x:v>62216</x:v>
      </x:c>
      <x:c r="P22">
        <x:v>30199</x:v>
      </x:c>
      <x:c r="Q22">
        <x:v>5.1194539249146853E-2</x:v>
      </x:c>
      <x:c r="R22" t="s">
        <x:v>41</x:v>
      </x:c>
    </x:row>
    <x:row r="23">
      <x:c r="A23" s="37">
        <x:v>46361</x:v>
      </x:c>
      <x:c r="B23" t="s">
        <x:v>19</x:v>
      </x:c>
      <x:c r="C23" t="s">
        <x:v>43</x:v>
      </x:c>
      <x:c r="D23">
        <x:v>56</x:v>
      </x:c>
      <x:c r="E23">
        <x:v>214</x:v>
      </x:c>
      <x:c r="F23">
        <x:v>116</x:v>
      </x:c>
      <x:c r="G23">
        <x:v>24</x:v>
      </x:c>
      <x:c r="H23">
        <x:v>24</x:v>
      </x:c>
      <x:c r="I23">
        <x:v>521</x:v>
      </x:c>
      <x:c r="J23">
        <x:v>327</x:v>
      </x:c>
      <x:c r="K23">
        <x:v>488</x:v>
      </x:c>
      <x:c r="L23">
        <x:v>0.54205607476635509</x:v>
      </x:c>
      <x:c r="M23">
        <x:v>98</x:v>
      </x:c>
      <x:c r="N23">
        <x:v>0</x:v>
      </x:c>
      <x:c r="O23">
        <x:v>60436</x:v>
      </x:c>
      <x:c r="P23">
        <x:v>22504</x:v>
      </x:c>
      <x:c r="Q23">
        <x:v>6.7622950819672178E-2</x:v>
      </x:c>
      <x:c r="R23" t="s">
        <x:v>41</x:v>
      </x:c>
    </x:row>
    <x:row r="24">
      <x:c r="A24" s="37">
        <x:v>46368</x:v>
      </x:c>
      <x:c r="B24" t="s">
        <x:v>19</x:v>
      </x:c>
      <x:c r="C24" t="s">
        <x:v>43</x:v>
      </x:c>
      <x:c r="D24">
        <x:v>63</x:v>
      </x:c>
      <x:c r="E24">
        <x:v>186</x:v>
      </x:c>
      <x:c r="F24">
        <x:v>49</x:v>
      </x:c>
      <x:c r="G24">
        <x:v>27</x:v>
      </x:c>
      <x:c r="H24">
        <x:v>36</x:v>
      </x:c>
      <x:c r="I24">
        <x:v>618</x:v>
      </x:c>
      <x:c r="J24">
        <x:v>332</x:v>
      </x:c>
      <x:c r="K24">
        <x:v>605</x:v>
      </x:c>
      <x:c r="L24">
        <x:v>0.26344086021505375</x:v>
      </x:c>
      <x:c r="M24">
        <x:v>137</x:v>
      </x:c>
      <x:c r="N24">
        <x:v>-0.25</x:v>
      </x:c>
      <x:c r="O24">
        <x:v>30282</x:v>
      </x:c>
      <x:c r="P24">
        <x:v>14014</x:v>
      </x:c>
      <x:c r="Q24">
        <x:v>2.1487603305785141E-2</x:v>
      </x:c>
      <x:c r="R24" t="s">
        <x:v>41</x:v>
      </x:c>
    </x:row>
    <x:row r="25">
      <x:c r="A25" s="37">
        <x:v>46375</x:v>
      </x:c>
      <x:c r="B25" t="s">
        <x:v>19</x:v>
      </x:c>
      <x:c r="C25" t="s">
        <x:v>43</x:v>
      </x:c>
      <x:c r="D25">
        <x:v>70</x:v>
      </x:c>
      <x:c r="E25">
        <x:v>252</x:v>
      </x:c>
      <x:c r="F25">
        <x:v>66</x:v>
      </x:c>
      <x:c r="G25">
        <x:v>32</x:v>
      </x:c>
      <x:c r="H25">
        <x:v>23</x:v>
      </x:c>
      <x:c r="I25">
        <x:v>527</x:v>
      </x:c>
      <x:c r="J25">
        <x:v>341</x:v>
      </x:c>
      <x:c r="K25">
        <x:v>468</x:v>
      </x:c>
      <x:c r="L25">
        <x:v>0.26190476190476192</x:v>
      </x:c>
      <x:c r="M25">
        <x:v>186</x:v>
      </x:c>
      <x:c r="N25">
        <x:v>0.39130434782608692</x:v>
      </x:c>
      <x:c r="O25">
        <x:v>34782</x:v>
      </x:c>
      <x:c r="P25">
        <x:v>12276</x:v>
      </x:c>
      <x:c r="Q25">
        <x:v>0.12606837606837606</x:v>
      </x:c>
      <x:c r="R25" t="s">
        <x:v>41</x:v>
      </x:c>
    </x:row>
    <x:row r="26">
      <x:c r="A26" s="37">
        <x:v>46382</x:v>
      </x:c>
      <x:c r="B26" t="s">
        <x:v>19</x:v>
      </x:c>
      <x:c r="C26" t="s">
        <x:v>43</x:v>
      </x:c>
      <x:c r="D26">
        <x:v>77</x:v>
      </x:c>
      <x:c r="E26">
        <x:v>304</x:v>
      </x:c>
      <x:c r="F26">
        <x:v>49</x:v>
      </x:c>
      <x:c r="G26">
        <x:v>54</x:v>
      </x:c>
      <x:c r="H26">
        <x:v>81</x:v>
      </x:c>
      <x:c r="I26">
        <x:v>502</x:v>
      </x:c>
      <x:c r="J26">
        <x:v>342</x:v>
      </x:c>
      <x:c r="K26">
        <x:v>521</x:v>
      </x:c>
      <x:c r="L26">
        <x:v>0.16118421052631579</x:v>
      </x:c>
      <x:c r="M26">
        <x:v>255</x:v>
      </x:c>
      <x:c r="N26">
        <x:v>-0.33333333333333337</x:v>
      </x:c>
      <x:c r="O26">
        <x:v>24598</x:v>
      </x:c>
      <x:c r="P26">
        <x:v>7840</x:v>
      </x:c>
      <x:c r="Q26">
        <x:v>-3.6468330134357019E-2</x:v>
      </x:c>
      <x:c r="R26" t="s">
        <x:v>41</x:v>
      </x:c>
    </x:row>
    <x:row r="27">
      <x:c r="A27" s="37">
        <x:v>46389</x:v>
      </x:c>
      <x:c r="B27" t="s">
        <x:v>19</x:v>
      </x:c>
      <x:c r="C27" t="s">
        <x:v>43</x:v>
      </x:c>
      <x:c r="D27">
        <x:v>84</x:v>
      </x:c>
      <x:c r="E27">
        <x:v>286</x:v>
      </x:c>
      <x:c r="F27">
        <x:v>99</x:v>
      </x:c>
      <x:c r="G27">
        <x:v>29</x:v>
      </x:c>
      <x:c r="H27">
        <x:v>36</x:v>
      </x:c>
      <x:c r="I27">
        <x:v>610</x:v>
      </x:c>
      <x:c r="J27">
        <x:v>320</x:v>
      </x:c>
      <x:c r="K27">
        <x:v>576</x:v>
      </x:c>
      <x:c r="L27">
        <x:v>0.34615384615384615</x:v>
      </x:c>
      <x:c r="M27">
        <x:v>187</x:v>
      </x:c>
      <x:c r="N27">
        <x:v>-0.19444444444444442</x:v>
      </x:c>
      <x:c r="O27">
        <x:v>60390</x:v>
      </x:c>
      <x:c r="P27">
        <x:v>28710</x:v>
      </x:c>
      <x:c r="Q27">
        <x:v>5.9027777777777679E-2</x:v>
      </x:c>
      <x:c r="R27" t="s">
        <x:v>41</x:v>
      </x:c>
    </x:row>
    <x:row r="28">
      <x:c r="A28" s="37">
        <x:v>46312</x:v>
      </x:c>
      <x:c r="B28" t="s">
        <x:v>18</x:v>
      </x:c>
      <x:c r="C28" t="s">
        <x:v>44</x:v>
      </x:c>
      <x:c r="D28">
        <x:v>7</x:v>
      </x:c>
      <x:c r="E28">
        <x:v>286</x:v>
      </x:c>
      <x:c r="F28">
        <x:v>256</x:v>
      </x:c>
      <x:c r="G28">
        <x:v>15</x:v>
      </x:c>
      <x:c r="H28">
        <x:v>17</x:v>
      </x:c>
      <x:c r="I28">
        <x:v>583</x:v>
      </x:c>
      <x:c r="J28">
        <x:v>381</x:v>
      </x:c>
      <x:c r="K28">
        <x:v>594</x:v>
      </x:c>
      <x:c r="L28">
        <x:v>0.8951048951048951</x:v>
      </x:c>
      <x:c r="M28">
        <x:v>30</x:v>
      </x:c>
      <x:c r="N28">
        <x:v>-0.11764705882352944</x:v>
      </x:c>
      <x:c r="O28">
        <x:v>149248</x:v>
      </x:c>
      <x:c r="P28">
        <x:v>51712</x:v>
      </x:c>
      <x:c r="Q28">
        <x:v>-1.851851851851849E-2</x:v>
      </x:c>
      <x:c r="R28" t="s">
        <x:v>41</x:v>
      </x:c>
    </x:row>
    <x:row r="29">
      <x:c r="A29" s="37">
        <x:v>46319</x:v>
      </x:c>
      <x:c r="B29" t="s">
        <x:v>18</x:v>
      </x:c>
      <x:c r="C29" t="s">
        <x:v>44</x:v>
      </x:c>
      <x:c r="D29">
        <x:v>14</x:v>
      </x:c>
      <x:c r="E29">
        <x:v>286</x:v>
      </x:c>
      <x:c r="F29">
        <x:v>161</x:v>
      </x:c>
      <x:c r="G29">
        <x:v>28</x:v>
      </x:c>
      <x:c r="H29">
        <x:v>21</x:v>
      </x:c>
      <x:c r="I29">
        <x:v>535</x:v>
      </x:c>
      <x:c r="J29">
        <x:v>367</x:v>
      </x:c>
      <x:c r="K29">
        <x:v>565</x:v>
      </x:c>
      <x:c r="L29">
        <x:v>0.56293706293706292</x:v>
      </x:c>
      <x:c r="M29">
        <x:v>125</x:v>
      </x:c>
      <x:c r="N29">
        <x:v>0.33333333333333326</x:v>
      </x:c>
      <x:c r="O29">
        <x:v>86135</x:v>
      </x:c>
      <x:c r="P29">
        <x:v>27048</x:v>
      </x:c>
      <x:c r="Q29">
        <x:v>-5.3097345132743334E-2</x:v>
      </x:c>
      <x:c r="R29" t="s">
        <x:v>41</x:v>
      </x:c>
    </x:row>
    <x:row r="30">
      <x:c r="A30" s="37">
        <x:v>46326</x:v>
      </x:c>
      <x:c r="B30" t="s">
        <x:v>18</x:v>
      </x:c>
      <x:c r="C30" t="s">
        <x:v>44</x:v>
      </x:c>
      <x:c r="D30">
        <x:v>21</x:v>
      </x:c>
      <x:c r="E30">
        <x:v>186</x:v>
      </x:c>
      <x:c r="F30">
        <x:v>119</x:v>
      </x:c>
      <x:c r="G30">
        <x:v>23</x:v>
      </x:c>
      <x:c r="H30">
        <x:v>20</x:v>
      </x:c>
      <x:c r="I30">
        <x:v>618</x:v>
      </x:c>
      <x:c r="J30">
        <x:v>345</x:v>
      </x:c>
      <x:c r="K30">
        <x:v>638</x:v>
      </x:c>
      <x:c r="L30">
        <x:v>0.63978494623655913</x:v>
      </x:c>
      <x:c r="M30">
        <x:v>67</x:v>
      </x:c>
      <x:c r="N30">
        <x:v>0.14999999999999991</x:v>
      </x:c>
      <x:c r="O30">
        <x:v>73542</x:v>
      </x:c>
      <x:c r="P30">
        <x:v>32487</x:v>
      </x:c>
      <x:c r="Q30">
        <x:v>-3.1347962382445194E-2</x:v>
      </x:c>
      <x:c r="R30" t="s">
        <x:v>41</x:v>
      </x:c>
    </x:row>
    <x:row r="31">
      <x:c r="A31" s="37">
        <x:v>46333</x:v>
      </x:c>
      <x:c r="B31" t="s">
        <x:v>18</x:v>
      </x:c>
      <x:c r="C31" t="s">
        <x:v>44</x:v>
      </x:c>
      <x:c r="D31">
        <x:v>28</x:v>
      </x:c>
      <x:c r="E31">
        <x:v>168</x:v>
      </x:c>
      <x:c r="F31">
        <x:v>82</x:v>
      </x:c>
      <x:c r="G31">
        <x:v>25</x:v>
      </x:c>
      <x:c r="H31">
        <x:v>24</x:v>
      </x:c>
      <x:c r="I31">
        <x:v>642</x:v>
      </x:c>
      <x:c r="J31">
        <x:v>359</x:v>
      </x:c>
      <x:c r="K31">
        <x:v>670</x:v>
      </x:c>
      <x:c r="L31">
        <x:v>0.48809523809523808</x:v>
      </x:c>
      <x:c r="M31">
        <x:v>86</x:v>
      </x:c>
      <x:c r="N31">
        <x:v>4.1666666666666741E-2</x:v>
      </x:c>
      <x:c r="O31">
        <x:v>52644</x:v>
      </x:c>
      <x:c r="P31">
        <x:v>23206</x:v>
      </x:c>
      <x:c r="Q31">
        <x:v>-4.179104477611939E-2</x:v>
      </x:c>
      <x:c r="R31" t="s">
        <x:v>45</x:v>
      </x:c>
    </x:row>
    <x:row r="32">
      <x:c r="A32" s="37">
        <x:v>46340</x:v>
      </x:c>
      <x:c r="B32" t="s">
        <x:v>18</x:v>
      </x:c>
      <x:c r="C32" t="s">
        <x:v>44</x:v>
      </x:c>
      <x:c r="D32">
        <x:v>35</x:v>
      </x:c>
      <x:c r="E32">
        <x:v>228</x:v>
      </x:c>
      <x:c r="F32">
        <x:v>114</x:v>
      </x:c>
      <x:c r="G32">
        <x:v>31</x:v>
      </x:c>
      <x:c r="H32">
        <x:v>40</x:v>
      </x:c>
      <x:c r="I32">
        <x:v>637</x:v>
      </x:c>
      <x:c r="J32">
        <x:v>363</x:v>
      </x:c>
      <x:c r="K32">
        <x:v>654</x:v>
      </x:c>
      <x:c r="L32">
        <x:v>0.5</x:v>
      </x:c>
      <x:c r="M32">
        <x:v>114</x:v>
      </x:c>
      <x:c r="N32">
        <x:v>-0.22499999999999998</x:v>
      </x:c>
      <x:c r="O32">
        <x:v>72618</x:v>
      </x:c>
      <x:c r="P32">
        <x:v>31236</x:v>
      </x:c>
      <x:c r="Q32">
        <x:v>-2.5993883792048922E-2</x:v>
      </x:c>
      <x:c r="R32" t="s">
        <x:v>41</x:v>
      </x:c>
    </x:row>
    <x:row r="33">
      <x:c r="A33" s="37">
        <x:v>46347</x:v>
      </x:c>
      <x:c r="B33" t="s">
        <x:v>18</x:v>
      </x:c>
      <x:c r="C33" t="s">
        <x:v>44</x:v>
      </x:c>
      <x:c r="D33">
        <x:v>42</x:v>
      </x:c>
      <x:c r="E33">
        <x:v>214</x:v>
      </x:c>
      <x:c r="F33">
        <x:v>114</x:v>
      </x:c>
      <x:c r="G33">
        <x:v>28</x:v>
      </x:c>
      <x:c r="H33">
        <x:v>32</x:v>
      </x:c>
      <x:c r="I33">
        <x:v>597</x:v>
      </x:c>
      <x:c r="J33">
        <x:v>361</x:v>
      </x:c>
      <x:c r="K33">
        <x:v>571</x:v>
      </x:c>
      <x:c r="L33">
        <x:v>0.53271028037383172</x:v>
      </x:c>
      <x:c r="M33">
        <x:v>100</x:v>
      </x:c>
      <x:c r="N33">
        <x:v>-0.125</x:v>
      </x:c>
      <x:c r="O33">
        <x:v>68058</x:v>
      </x:c>
      <x:c r="P33">
        <x:v>26904</x:v>
      </x:c>
      <x:c r="Q33">
        <x:v>4.5534150612959623E-2</x:v>
      </x:c>
      <x:c r="R33" t="s">
        <x:v>41</x:v>
      </x:c>
    </x:row>
    <x:row r="34">
      <x:c r="A34" s="37">
        <x:v>46354</x:v>
      </x:c>
      <x:c r="B34" t="s">
        <x:v>18</x:v>
      </x:c>
      <x:c r="C34" t="s">
        <x:v>44</x:v>
      </x:c>
      <x:c r="D34">
        <x:v>49</x:v>
      </x:c>
      <x:c r="E34">
        <x:v>252</x:v>
      </x:c>
      <x:c r="F34">
        <x:v>140</x:v>
      </x:c>
      <x:c r="G34">
        <x:v>20</x:v>
      </x:c>
      <x:c r="H34">
        <x:v>29</x:v>
      </x:c>
      <x:c r="I34">
        <x:v>677</x:v>
      </x:c>
      <x:c r="J34">
        <x:v>373</x:v>
      </x:c>
      <x:c r="K34">
        <x:v>605</x:v>
      </x:c>
      <x:c r="L34">
        <x:v>0.55555555555555558</x:v>
      </x:c>
      <x:c r="M34">
        <x:v>112</x:v>
      </x:c>
      <x:c r="N34">
        <x:v>-0.31034482758620685</x:v>
      </x:c>
      <x:c r="O34">
        <x:v>94780</x:v>
      </x:c>
      <x:c r="P34">
        <x:v>42560</x:v>
      </x:c>
      <x:c r="Q34">
        <x:v>0.11900826446280988</x:v>
      </x:c>
      <x:c r="R34" t="s">
        <x:v>41</x:v>
      </x:c>
    </x:row>
    <x:row r="35">
      <x:c r="A35" s="37">
        <x:v>46361</x:v>
      </x:c>
      <x:c r="B35" t="s">
        <x:v>18</x:v>
      </x:c>
      <x:c r="C35" t="s">
        <x:v>44</x:v>
      </x:c>
      <x:c r="D35">
        <x:v>56</x:v>
      </x:c>
      <x:c r="E35">
        <x:v>186</x:v>
      </x:c>
      <x:c r="F35">
        <x:v>52</x:v>
      </x:c>
      <x:c r="G35">
        <x:v>40</x:v>
      </x:c>
      <x:c r="H35">
        <x:v>29</x:v>
      </x:c>
      <x:c r="I35">
        <x:v>606</x:v>
      </x:c>
      <x:c r="J35">
        <x:v>367</x:v>
      </x:c>
      <x:c r="K35">
        <x:v>650</x:v>
      </x:c>
      <x:c r="L35">
        <x:v>0.27956989247311825</x:v>
      </x:c>
      <x:c r="M35">
        <x:v>134</x:v>
      </x:c>
      <x:c r="N35">
        <x:v>0.3793103448275863</x:v>
      </x:c>
      <x:c r="O35">
        <x:v>31512</x:v>
      </x:c>
      <x:c r="P35">
        <x:v>12428</x:v>
      </x:c>
      <x:c r="Q35">
        <x:v>-6.7692307692307718E-2</x:v>
      </x:c>
      <x:c r="R35" t="s">
        <x:v>41</x:v>
      </x:c>
    </x:row>
    <x:row r="36">
      <x:c r="A36" s="37">
        <x:v>46368</x:v>
      </x:c>
      <x:c r="B36" t="s">
        <x:v>18</x:v>
      </x:c>
      <x:c r="C36" t="s">
        <x:v>44</x:v>
      </x:c>
      <x:c r="D36">
        <x:v>63</x:v>
      </x:c>
      <x:c r="E36">
        <x:v>286</x:v>
      </x:c>
      <x:c r="F36">
        <x:v>90</x:v>
      </x:c>
      <x:c r="G36">
        <x:v>34</x:v>
      </x:c>
      <x:c r="H36">
        <x:v>35</x:v>
      </x:c>
      <x:c r="I36">
        <x:v>595</x:v>
      </x:c>
      <x:c r="J36">
        <x:v>372</x:v>
      </x:c>
      <x:c r="K36">
        <x:v>562</x:v>
      </x:c>
      <x:c r="L36">
        <x:v>0.31468531468531469</x:v>
      </x:c>
      <x:c r="M36">
        <x:v>196</x:v>
      </x:c>
      <x:c r="N36">
        <x:v>-2.8571428571428581E-2</x:v>
      </x:c>
      <x:c r="O36">
        <x:v>53550</x:v>
      </x:c>
      <x:c r="P36">
        <x:v>20070</x:v>
      </x:c>
      <x:c r="Q36">
        <x:v>5.8718861209964501E-2</x:v>
      </x:c>
      <x:c r="R36" t="s">
        <x:v>41</x:v>
      </x:c>
    </x:row>
    <x:row r="37">
      <x:c r="A37" s="37">
        <x:v>46375</x:v>
      </x:c>
      <x:c r="B37" t="s">
        <x:v>18</x:v>
      </x:c>
      <x:c r="C37" t="s">
        <x:v>44</x:v>
      </x:c>
      <x:c r="D37">
        <x:v>70</x:v>
      </x:c>
      <x:c r="E37">
        <x:v>228</x:v>
      </x:c>
      <x:c r="F37">
        <x:v>36</x:v>
      </x:c>
      <x:c r="G37">
        <x:v>50</x:v>
      </x:c>
      <x:c r="H37">
        <x:v>53</x:v>
      </x:c>
      <x:c r="I37">
        <x:v>590</x:v>
      </x:c>
      <x:c r="J37">
        <x:v>356</x:v>
      </x:c>
      <x:c r="K37">
        <x:v>569</x:v>
      </x:c>
      <x:c r="L37">
        <x:v>0.15789473684210525</x:v>
      </x:c>
      <x:c r="M37">
        <x:v>192</x:v>
      </x:c>
      <x:c r="N37">
        <x:v>-5.6603773584905648E-2</x:v>
      </x:c>
      <x:c r="O37">
        <x:v>21240</x:v>
      </x:c>
      <x:c r="P37">
        <x:v>8424</x:v>
      </x:c>
      <x:c r="Q37">
        <x:v>3.6906854130052791E-2</x:v>
      </x:c>
      <x:c r="R37" t="s">
        <x:v>41</x:v>
      </x:c>
    </x:row>
    <x:row r="38">
      <x:c r="A38" s="37">
        <x:v>46382</x:v>
      </x:c>
      <x:c r="B38" t="s">
        <x:v>18</x:v>
      </x:c>
      <x:c r="C38" t="s">
        <x:v>44</x:v>
      </x:c>
      <x:c r="D38">
        <x:v>77</x:v>
      </x:c>
      <x:c r="E38">
        <x:v>286</x:v>
      </x:c>
      <x:c r="F38">
        <x:v>46</x:v>
      </x:c>
      <x:c r="G38">
        <x:v>69</x:v>
      </x:c>
      <x:c r="H38">
        <x:v>52</x:v>
      </x:c>
      <x:c r="I38">
        <x:v>653</x:v>
      </x:c>
      <x:c r="J38">
        <x:v>361</x:v>
      </x:c>
      <x:c r="K38">
        <x:v>641</x:v>
      </x:c>
      <x:c r="L38">
        <x:v>0.16083916083916083</x:v>
      </x:c>
      <x:c r="M38">
        <x:v>240</x:v>
      </x:c>
      <x:c r="N38">
        <x:v>0.32692307692307687</x:v>
      </x:c>
      <x:c r="O38">
        <x:v>30038</x:v>
      </x:c>
      <x:c r="P38">
        <x:v>13432</x:v>
      </x:c>
      <x:c r="Q38">
        <x:v>1.8720748829953227E-2</x:v>
      </x:c>
      <x:c r="R38" t="s">
        <x:v>41</x:v>
      </x:c>
    </x:row>
    <x:row r="39">
      <x:c r="A39" s="37">
        <x:v>46389</x:v>
      </x:c>
      <x:c r="B39" t="s">
        <x:v>18</x:v>
      </x:c>
      <x:c r="C39" t="s">
        <x:v>44</x:v>
      </x:c>
      <x:c r="D39">
        <x:v>84</x:v>
      </x:c>
      <x:c r="E39">
        <x:v>304</x:v>
      </x:c>
      <x:c r="F39">
        <x:v>54</x:v>
      </x:c>
      <x:c r="G39">
        <x:v>40</x:v>
      </x:c>
      <x:c r="H39">
        <x:v>32</x:v>
      </x:c>
      <x:c r="I39">
        <x:v>645</x:v>
      </x:c>
      <x:c r="J39">
        <x:v>372</x:v>
      </x:c>
      <x:c r="K39">
        <x:v>676</x:v>
      </x:c>
      <x:c r="L39">
        <x:v>0.17763157894736842</x:v>
      </x:c>
      <x:c r="M39">
        <x:v>250</x:v>
      </x:c>
      <x:c r="N39">
        <x:v>0.25</x:v>
      </x:c>
      <x:c r="O39">
        <x:v>34830</x:v>
      </x:c>
      <x:c r="P39">
        <x:v>14742</x:v>
      </x:c>
      <x:c r="Q39">
        <x:v>-4.585798816568043E-2</x:v>
      </x:c>
      <x:c r="R39" t="s">
        <x:v>41</x:v>
      </x:c>
    </x:row>
    <x:row r="40">
      <x:c r="A40" s="37">
        <x:v>46312</x:v>
      </x:c>
      <x:c r="B40" t="s">
        <x:v>22</x:v>
      </x:c>
      <x:c r="C40" t="s">
        <x:v>46</x:v>
      </x:c>
      <x:c r="D40">
        <x:v>7</x:v>
      </x:c>
      <x:c r="E40">
        <x:v>168</x:v>
      </x:c>
      <x:c r="F40">
        <x:v>109</x:v>
      </x:c>
      <x:c r="G40">
        <x:v>18</x:v>
      </x:c>
      <x:c r="H40">
        <x:v>21</x:v>
      </x:c>
      <x:c r="I40">
        <x:v>530</x:v>
      </x:c>
      <x:c r="J40">
        <x:v>392</x:v>
      </x:c>
      <x:c r="K40">
        <x:v>495</x:v>
      </x:c>
      <x:c r="L40">
        <x:v>0.64880952380952384</x:v>
      </x:c>
      <x:c r="M40">
        <x:v>59</x:v>
      </x:c>
      <x:c r="N40">
        <x:v>-0.1428571428571429</x:v>
      </x:c>
      <x:c r="O40">
        <x:v>57770</x:v>
      </x:c>
      <x:c r="P40">
        <x:v>15042</x:v>
      </x:c>
      <x:c r="Q40">
        <x:v>7.0707070707070718E-2</x:v>
      </x:c>
      <x:c r="R40" t="s">
        <x:v>41</x:v>
      </x:c>
    </x:row>
    <x:row r="41">
      <x:c r="A41" s="37">
        <x:v>46319</x:v>
      </x:c>
      <x:c r="B41" t="s">
        <x:v>22</x:v>
      </x:c>
      <x:c r="C41" t="s">
        <x:v>46</x:v>
      </x:c>
      <x:c r="D41">
        <x:v>14</x:v>
      </x:c>
      <x:c r="E41">
        <x:v>252</x:v>
      </x:c>
      <x:c r="F41">
        <x:v>194</x:v>
      </x:c>
      <x:c r="G41">
        <x:v>12</x:v>
      </x:c>
      <x:c r="H41">
        <x:v>16</x:v>
      </x:c>
      <x:c r="I41">
        <x:v>558</x:v>
      </x:c>
      <x:c r="J41">
        <x:v>359</x:v>
      </x:c>
      <x:c r="K41">
        <x:v>599</x:v>
      </x:c>
      <x:c r="L41">
        <x:v>0.76984126984126988</x:v>
      </x:c>
      <x:c r="M41">
        <x:v>58</x:v>
      </x:c>
      <x:c r="N41">
        <x:v>-0.25</x:v>
      </x:c>
      <x:c r="O41">
        <x:v>108252</x:v>
      </x:c>
      <x:c r="P41">
        <x:v>38606</x:v>
      </x:c>
      <x:c r="Q41">
        <x:v>-6.8447412353923154E-2</x:v>
      </x:c>
      <x:c r="R41" t="s">
        <x:v>41</x:v>
      </x:c>
    </x:row>
    <x:row r="42">
      <x:c r="A42" s="37">
        <x:v>46326</x:v>
      </x:c>
      <x:c r="B42" t="s">
        <x:v>22</x:v>
      </x:c>
      <x:c r="C42" t="s">
        <x:v>46</x:v>
      </x:c>
      <x:c r="D42">
        <x:v>21</x:v>
      </x:c>
      <x:c r="E42">
        <x:v>304</x:v>
      </x:c>
      <x:c r="F42">
        <x:v>235</x:v>
      </x:c>
      <x:c r="G42">
        <x:v>21</x:v>
      </x:c>
      <x:c r="H42">
        <x:v>16</x:v>
      </x:c>
      <x:c r="I42">
        <x:v>604</x:v>
      </x:c>
      <x:c r="J42">
        <x:v>391</x:v>
      </x:c>
      <x:c r="K42">
        <x:v>547</x:v>
      </x:c>
      <x:c r="L42">
        <x:v>0.77302631578947367</x:v>
      </x:c>
      <x:c r="M42">
        <x:v>69</x:v>
      </x:c>
      <x:c r="N42">
        <x:v>0.3125</x:v>
      </x:c>
      <x:c r="O42">
        <x:v>141940</x:v>
      </x:c>
      <x:c r="P42">
        <x:v>50055</x:v>
      </x:c>
      <x:c r="Q42">
        <x:v>0.1042047531992687</x:v>
      </x:c>
      <x:c r="R42" t="s">
        <x:v>42</x:v>
      </x:c>
    </x:row>
    <x:row r="43">
      <x:c r="A43" s="37">
        <x:v>46333</x:v>
      </x:c>
      <x:c r="B43" t="s">
        <x:v>22</x:v>
      </x:c>
      <x:c r="C43" t="s">
        <x:v>46</x:v>
      </x:c>
      <x:c r="D43">
        <x:v>28</x:v>
      </x:c>
      <x:c r="E43">
        <x:v>228</x:v>
      </x:c>
      <x:c r="F43">
        <x:v>126</x:v>
      </x:c>
      <x:c r="G43">
        <x:v>31</x:v>
      </x:c>
      <x:c r="H43">
        <x:v>42</x:v>
      </x:c>
      <x:c r="I43">
        <x:v>663</x:v>
      </x:c>
      <x:c r="J43">
        <x:v>383</x:v>
      </x:c>
      <x:c r="K43">
        <x:v>704</x:v>
      </x:c>
      <x:c r="L43">
        <x:v>0.55263157894736847</x:v>
      </x:c>
      <x:c r="M43">
        <x:v>102</x:v>
      </x:c>
      <x:c r="N43">
        <x:v>-0.26190476190476186</x:v>
      </x:c>
      <x:c r="O43">
        <x:v>83538</x:v>
      </x:c>
      <x:c r="P43">
        <x:v>35280</x:v>
      </x:c>
      <x:c r="Q43">
        <x:v>-5.8238636363636354E-2</x:v>
      </x:c>
      <x:c r="R43" t="s">
        <x:v>41</x:v>
      </x:c>
    </x:row>
    <x:row r="44">
      <x:c r="A44" s="37">
        <x:v>46340</x:v>
      </x:c>
      <x:c r="B44" t="s">
        <x:v>22</x:v>
      </x:c>
      <x:c r="C44" t="s">
        <x:v>46</x:v>
      </x:c>
      <x:c r="D44">
        <x:v>35</x:v>
      </x:c>
      <x:c r="E44">
        <x:v>186</x:v>
      </x:c>
      <x:c r="F44">
        <x:v>122</x:v>
      </x:c>
      <x:c r="G44">
        <x:v>28</x:v>
      </x:c>
      <x:c r="H44">
        <x:v>25</x:v>
      </x:c>
      <x:c r="I44">
        <x:v>613</x:v>
      </x:c>
      <x:c r="J44">
        <x:v>383</x:v>
      </x:c>
      <x:c r="K44">
        <x:v>624</x:v>
      </x:c>
      <x:c r="L44">
        <x:v>0.65591397849462363</x:v>
      </x:c>
      <x:c r="M44">
        <x:v>64</x:v>
      </x:c>
      <x:c r="N44">
        <x:v>0.12000000000000011</x:v>
      </x:c>
      <x:c r="O44">
        <x:v>74786</x:v>
      </x:c>
      <x:c r="P44">
        <x:v>28060</x:v>
      </x:c>
      <x:c r="Q44">
        <x:v>-1.7628205128205177E-2</x:v>
      </x:c>
      <x:c r="R44" t="s">
        <x:v>41</x:v>
      </x:c>
    </x:row>
    <x:row r="45">
      <x:c r="A45" s="37">
        <x:v>46347</x:v>
      </x:c>
      <x:c r="B45" t="s">
        <x:v>22</x:v>
      </x:c>
      <x:c r="C45" t="s">
        <x:v>46</x:v>
      </x:c>
      <x:c r="D45">
        <x:v>42</x:v>
      </x:c>
      <x:c r="E45">
        <x:v>168</x:v>
      </x:c>
      <x:c r="F45">
        <x:v>82</x:v>
      </x:c>
      <x:c r="G45">
        <x:v>21</x:v>
      </x:c>
      <x:c r="H45">
        <x:v>26</x:v>
      </x:c>
      <x:c r="I45">
        <x:v>637</x:v>
      </x:c>
      <x:c r="J45">
        <x:v>380</x:v>
      </x:c>
      <x:c r="K45">
        <x:v>685</x:v>
      </x:c>
      <x:c r="L45">
        <x:v>0.48809523809523808</x:v>
      </x:c>
      <x:c r="M45">
        <x:v>86</x:v>
      </x:c>
      <x:c r="N45">
        <x:v>-0.19230769230769229</x:v>
      </x:c>
      <x:c r="O45">
        <x:v>52234</x:v>
      </x:c>
      <x:c r="P45">
        <x:v>21074</x:v>
      </x:c>
      <x:c r="Q45">
        <x:v>-7.0072992700729975E-2</x:v>
      </x:c>
      <x:c r="R45" t="s">
        <x:v>41</x:v>
      </x:c>
    </x:row>
    <x:row r="46">
      <x:c r="A46" s="37">
        <x:v>46354</x:v>
      </x:c>
      <x:c r="B46" t="s">
        <x:v>22</x:v>
      </x:c>
      <x:c r="C46" t="s">
        <x:v>46</x:v>
      </x:c>
      <x:c r="D46">
        <x:v>49</x:v>
      </x:c>
      <x:c r="E46">
        <x:v>304</x:v>
      </x:c>
      <x:c r="F46">
        <x:v>205</x:v>
      </x:c>
      <x:c r="G46">
        <x:v>17</x:v>
      </x:c>
      <x:c r="H46">
        <x:v>17</x:v>
      </x:c>
      <x:c r="I46">
        <x:v>626</x:v>
      </x:c>
      <x:c r="J46">
        <x:v>396</x:v>
      </x:c>
      <x:c r="K46">
        <x:v>553</x:v>
      </x:c>
      <x:c r="L46">
        <x:v>0.67434210526315785</x:v>
      </x:c>
      <x:c r="M46">
        <x:v>99</x:v>
      </x:c>
      <x:c r="N46">
        <x:v>0</x:v>
      </x:c>
      <x:c r="O46">
        <x:v>128330</x:v>
      </x:c>
      <x:c r="P46">
        <x:v>47150</x:v>
      </x:c>
      <x:c r="Q46">
        <x:v>0.13200723327305597</x:v>
      </x:c>
      <x:c r="R46" t="s">
        <x:v>41</x:v>
      </x:c>
    </x:row>
    <x:row r="47">
      <x:c r="A47" s="37">
        <x:v>46361</x:v>
      </x:c>
      <x:c r="B47" t="s">
        <x:v>22</x:v>
      </x:c>
      <x:c r="C47" t="s">
        <x:v>46</x:v>
      </x:c>
      <x:c r="D47">
        <x:v>56</x:v>
      </x:c>
      <x:c r="E47">
        <x:v>186</x:v>
      </x:c>
      <x:c r="F47">
        <x:v>107</x:v>
      </x:c>
      <x:c r="G47">
        <x:v>17</x:v>
      </x:c>
      <x:c r="H47">
        <x:v>20</x:v>
      </x:c>
      <x:c r="I47">
        <x:v>549</x:v>
      </x:c>
      <x:c r="J47">
        <x:v>394</x:v>
      </x:c>
      <x:c r="K47">
        <x:v>537</x:v>
      </x:c>
      <x:c r="L47">
        <x:v>0.57526881720430112</x:v>
      </x:c>
      <x:c r="M47">
        <x:v>79</x:v>
      </x:c>
      <x:c r="N47">
        <x:v>-0.15000000000000002</x:v>
      </x:c>
      <x:c r="O47">
        <x:v>58743</x:v>
      </x:c>
      <x:c r="P47">
        <x:v>16585</x:v>
      </x:c>
      <x:c r="Q47">
        <x:v>2.2346368715083775E-2</x:v>
      </x:c>
      <x:c r="R47" t="s">
        <x:v>41</x:v>
      </x:c>
    </x:row>
    <x:row r="48">
      <x:c r="A48" s="37">
        <x:v>46368</x:v>
      </x:c>
      <x:c r="B48" t="s">
        <x:v>22</x:v>
      </x:c>
      <x:c r="C48" t="s">
        <x:v>46</x:v>
      </x:c>
      <x:c r="D48">
        <x:v>63</x:v>
      </x:c>
      <x:c r="E48">
        <x:v>252</x:v>
      </x:c>
      <x:c r="F48">
        <x:v>70</x:v>
      </x:c>
      <x:c r="G48">
        <x:v>31</x:v>
      </x:c>
      <x:c r="H48">
        <x:v>43</x:v>
      </x:c>
      <x:c r="I48">
        <x:v>678</x:v>
      </x:c>
      <x:c r="J48">
        <x:v>378</x:v>
      </x:c>
      <x:c r="K48">
        <x:v>667</x:v>
      </x:c>
      <x:c r="L48">
        <x:v>0.27777777777777779</x:v>
      </x:c>
      <x:c r="M48">
        <x:v>182</x:v>
      </x:c>
      <x:c r="N48">
        <x:v>-0.27906976744186052</x:v>
      </x:c>
      <x:c r="O48">
        <x:v>47460</x:v>
      </x:c>
      <x:c r="P48">
        <x:v>21000</x:v>
      </x:c>
      <x:c r="Q48">
        <x:v>1.6491754122938573E-2</x:v>
      </x:c>
      <x:c r="R48" t="s">
        <x:v>41</x:v>
      </x:c>
    </x:row>
    <x:row r="49">
      <x:c r="A49" s="37">
        <x:v>46375</x:v>
      </x:c>
      <x:c r="B49" t="s">
        <x:v>22</x:v>
      </x:c>
      <x:c r="C49" t="s">
        <x:v>46</x:v>
      </x:c>
      <x:c r="D49">
        <x:v>70</x:v>
      </x:c>
      <x:c r="E49">
        <x:v>286</x:v>
      </x:c>
      <x:c r="F49">
        <x:v>131</x:v>
      </x:c>
      <x:c r="G49">
        <x:v>22</x:v>
      </x:c>
      <x:c r="H49">
        <x:v>20</x:v>
      </x:c>
      <x:c r="I49">
        <x:v>611</x:v>
      </x:c>
      <x:c r="J49">
        <x:v>378</x:v>
      </x:c>
      <x:c r="K49">
        <x:v>588</x:v>
      </x:c>
      <x:c r="L49">
        <x:v>0.45804195804195802</x:v>
      </x:c>
      <x:c r="M49">
        <x:v>155</x:v>
      </x:c>
      <x:c r="N49">
        <x:v>0.10000000000000009</x:v>
      </x:c>
      <x:c r="O49">
        <x:v>80041</x:v>
      </x:c>
      <x:c r="P49">
        <x:v>30523</x:v>
      </x:c>
      <x:c r="Q49">
        <x:v>3.9115646258503389E-2</x:v>
      </x:c>
      <x:c r="R49" t="s">
        <x:v>41</x:v>
      </x:c>
    </x:row>
    <x:row r="50">
      <x:c r="A50" s="37">
        <x:v>46382</x:v>
      </x:c>
      <x:c r="B50" t="s">
        <x:v>22</x:v>
      </x:c>
      <x:c r="C50" t="s">
        <x:v>46</x:v>
      </x:c>
      <x:c r="D50">
        <x:v>77</x:v>
      </x:c>
      <x:c r="E50">
        <x:v>304</x:v>
      </x:c>
      <x:c r="F50">
        <x:v>49</x:v>
      </x:c>
      <x:c r="G50">
        <x:v>70</x:v>
      </x:c>
      <x:c r="H50">
        <x:v>61</x:v>
      </x:c>
      <x:c r="I50">
        <x:v>631</x:v>
      </x:c>
      <x:c r="J50">
        <x:v>372</x:v>
      </x:c>
      <x:c r="K50">
        <x:v>627</x:v>
      </x:c>
      <x:c r="L50">
        <x:v>0.16118421052631579</x:v>
      </x:c>
      <x:c r="M50">
        <x:v>255</x:v>
      </x:c>
      <x:c r="N50">
        <x:v>0.14754098360655732</x:v>
      </x:c>
      <x:c r="O50">
        <x:v>30919</x:v>
      </x:c>
      <x:c r="P50">
        <x:v>12691</x:v>
      </x:c>
      <x:c r="Q50">
        <x:v>6.3795853269537073E-3</x:v>
      </x:c>
      <x:c r="R50" t="s">
        <x:v>41</x:v>
      </x:c>
    </x:row>
    <x:row r="51">
      <x:c r="A51" s="37">
        <x:v>46389</x:v>
      </x:c>
      <x:c r="B51" t="s">
        <x:v>22</x:v>
      </x:c>
      <x:c r="C51" t="s">
        <x:v>46</x:v>
      </x:c>
      <x:c r="D51">
        <x:v>84</x:v>
      </x:c>
      <x:c r="E51">
        <x:v>228</x:v>
      </x:c>
      <x:c r="F51">
        <x:v>99</x:v>
      </x:c>
      <x:c r="G51">
        <x:v>30</x:v>
      </x:c>
      <x:c r="H51">
        <x:v>25</x:v>
      </x:c>
      <x:c r="I51">
        <x:v>608</x:v>
      </x:c>
      <x:c r="J51">
        <x:v>386</x:v>
      </x:c>
      <x:c r="K51">
        <x:v>626</x:v>
      </x:c>
      <x:c r="L51">
        <x:v>0.43421052631578949</x:v>
      </x:c>
      <x:c r="M51">
        <x:v>129</x:v>
      </x:c>
      <x:c r="N51">
        <x:v>0.19999999999999996</x:v>
      </x:c>
      <x:c r="O51">
        <x:v>60192</x:v>
      </x:c>
      <x:c r="P51">
        <x:v>21978</x:v>
      </x:c>
      <x:c r="Q51">
        <x:v>-2.8753993610223683E-2</x:v>
      </x:c>
      <x:c r="R51" t="s">
        <x:v>41</x:v>
      </x:c>
    </x:row>
    <x:row r="52">
      <x:c r="A52" s="37">
        <x:v>46312</x:v>
      </x:c>
      <x:c r="B52" t="s">
        <x:v>21</x:v>
      </x:c>
      <x:c r="C52" t="s">
        <x:v>47</x:v>
      </x:c>
      <x:c r="D52">
        <x:v>7</x:v>
      </x:c>
      <x:c r="E52">
        <x:v>286</x:v>
      </x:c>
      <x:c r="F52">
        <x:v>171</x:v>
      </x:c>
      <x:c r="G52">
        <x:v>31</x:v>
      </x:c>
      <x:c r="H52">
        <x:v>40</x:v>
      </x:c>
      <x:c r="I52">
        <x:v>556</x:v>
      </x:c>
      <x:c r="J52">
        <x:v>408</x:v>
      </x:c>
      <x:c r="K52">
        <x:v>613</x:v>
      </x:c>
      <x:c r="L52">
        <x:v>0.59790209790209792</x:v>
      </x:c>
      <x:c r="M52">
        <x:v>115</x:v>
      </x:c>
      <x:c r="N52">
        <x:v>-0.22499999999999998</x:v>
      </x:c>
      <x:c r="O52">
        <x:v>95076</x:v>
      </x:c>
      <x:c r="P52">
        <x:v>25308</x:v>
      </x:c>
      <x:c r="Q52">
        <x:v>-9.2985318107667192E-2</x:v>
      </x:c>
      <x:c r="R52" t="s">
        <x:v>41</x:v>
      </x:c>
    </x:row>
    <x:row r="53">
      <x:c r="A53" s="37">
        <x:v>46319</x:v>
      </x:c>
      <x:c r="B53" t="s">
        <x:v>21</x:v>
      </x:c>
      <x:c r="C53" t="s">
        <x:v>47</x:v>
      </x:c>
      <x:c r="D53">
        <x:v>14</x:v>
      </x:c>
      <x:c r="E53">
        <x:v>214</x:v>
      </x:c>
      <x:c r="F53">
        <x:v>119</x:v>
      </x:c>
      <x:c r="G53">
        <x:v>22</x:v>
      </x:c>
      <x:c r="H53">
        <x:v>25</x:v>
      </x:c>
      <x:c r="I53">
        <x:v>582</x:v>
      </x:c>
      <x:c r="J53">
        <x:v>403</x:v>
      </x:c>
      <x:c r="K53">
        <x:v>599</x:v>
      </x:c>
      <x:c r="L53">
        <x:v>0.55607476635514019</x:v>
      </x:c>
      <x:c r="M53">
        <x:v>95</x:v>
      </x:c>
      <x:c r="N53">
        <x:v>-0.12</x:v>
      </x:c>
      <x:c r="O53">
        <x:v>69258</x:v>
      </x:c>
      <x:c r="P53">
        <x:v>21301</x:v>
      </x:c>
      <x:c r="Q53">
        <x:v>-2.8380634390651083E-2</x:v>
      </x:c>
      <x:c r="R53" t="s">
        <x:v>41</x:v>
      </x:c>
    </x:row>
    <x:row r="54">
      <x:c r="A54" s="37">
        <x:v>46326</x:v>
      </x:c>
      <x:c r="B54" t="s">
        <x:v>21</x:v>
      </x:c>
      <x:c r="C54" t="s">
        <x:v>47</x:v>
      </x:c>
      <x:c r="D54">
        <x:v>21</x:v>
      </x:c>
      <x:c r="E54">
        <x:v>286</x:v>
      </x:c>
      <x:c r="F54">
        <x:v>186</x:v>
      </x:c>
      <x:c r="G54">
        <x:v>30</x:v>
      </x:c>
      <x:c r="H54">
        <x:v>44</x:v>
      </x:c>
      <x:c r="I54">
        <x:v>669</x:v>
      </x:c>
      <x:c r="J54">
        <x:v>392</x:v>
      </x:c>
      <x:c r="K54">
        <x:v>591</x:v>
      </x:c>
      <x:c r="L54">
        <x:v>0.65034965034965031</x:v>
      </x:c>
      <x:c r="M54">
        <x:v>100</x:v>
      </x:c>
      <x:c r="N54">
        <x:v>-0.31818181818181823</x:v>
      </x:c>
      <x:c r="O54">
        <x:v>124434</x:v>
      </x:c>
      <x:c r="P54">
        <x:v>51522</x:v>
      </x:c>
      <x:c r="Q54">
        <x:v>0.13197969543147203</x:v>
      </x:c>
      <x:c r="R54" t="s">
        <x:v>41</x:v>
      </x:c>
    </x:row>
    <x:row r="55">
      <x:c r="A55" s="37">
        <x:v>46333</x:v>
      </x:c>
      <x:c r="B55" t="s">
        <x:v>21</x:v>
      </x:c>
      <x:c r="C55" t="s">
        <x:v>47</x:v>
      </x:c>
      <x:c r="D55">
        <x:v>28</x:v>
      </x:c>
      <x:c r="E55">
        <x:v>252</x:v>
      </x:c>
      <x:c r="F55">
        <x:v>191</x:v>
      </x:c>
      <x:c r="G55">
        <x:v>18</x:v>
      </x:c>
      <x:c r="H55">
        <x:v>24</x:v>
      </x:c>
      <x:c r="I55">
        <x:v>662</x:v>
      </x:c>
      <x:c r="J55">
        <x:v>376</x:v>
      </x:c>
      <x:c r="K55">
        <x:v>731</x:v>
      </x:c>
      <x:c r="L55">
        <x:v>0.75793650793650791</x:v>
      </x:c>
      <x:c r="M55">
        <x:v>61</x:v>
      </x:c>
      <x:c r="N55">
        <x:v>-0.25</x:v>
      </x:c>
      <x:c r="O55">
        <x:v>126442</x:v>
      </x:c>
      <x:c r="P55">
        <x:v>54626</x:v>
      </x:c>
      <x:c r="Q55">
        <x:v>-9.4391244870041024E-2</x:v>
      </x:c>
      <x:c r="R55" t="s">
        <x:v>41</x:v>
      </x:c>
    </x:row>
    <x:row r="56">
      <x:c r="A56" s="37">
        <x:v>46340</x:v>
      </x:c>
      <x:c r="B56" t="s">
        <x:v>21</x:v>
      </x:c>
      <x:c r="C56" t="s">
        <x:v>47</x:v>
      </x:c>
      <x:c r="D56">
        <x:v>35</x:v>
      </x:c>
      <x:c r="E56">
        <x:v>186</x:v>
      </x:c>
      <x:c r="F56">
        <x:v>111</x:v>
      </x:c>
      <x:c r="G56">
        <x:v>21</x:v>
      </x:c>
      <x:c r="H56">
        <x:v>32</x:v>
      </x:c>
      <x:c r="I56">
        <x:v>569</x:v>
      </x:c>
      <x:c r="J56">
        <x:v>411</x:v>
      </x:c>
      <x:c r="K56">
        <x:v>527</x:v>
      </x:c>
      <x:c r="L56">
        <x:v>0.59677419354838712</x:v>
      </x:c>
      <x:c r="M56">
        <x:v>75</x:v>
      </x:c>
      <x:c r="N56">
        <x:v>-0.34375</x:v>
      </x:c>
      <x:c r="O56">
        <x:v>63159</x:v>
      </x:c>
      <x:c r="P56">
        <x:v>17538</x:v>
      </x:c>
      <x:c r="Q56">
        <x:v>7.9696394686906924E-2</x:v>
      </x:c>
      <x:c r="R56" t="s">
        <x:v>41</x:v>
      </x:c>
    </x:row>
    <x:row r="57">
      <x:c r="A57" s="37">
        <x:v>46347</x:v>
      </x:c>
      <x:c r="B57" t="s">
        <x:v>21</x:v>
      </x:c>
      <x:c r="C57" t="s">
        <x:v>47</x:v>
      </x:c>
      <x:c r="D57">
        <x:v>42</x:v>
      </x:c>
      <x:c r="E57">
        <x:v>214</x:v>
      </x:c>
      <x:c r="F57">
        <x:v>151</x:v>
      </x:c>
      <x:c r="G57">
        <x:v>10</x:v>
      </x:c>
      <x:c r="H57">
        <x:v>15</x:v>
      </x:c>
      <x:c r="I57">
        <x:v>556</x:v>
      </x:c>
      <x:c r="J57">
        <x:v>410</x:v>
      </x:c>
      <x:c r="K57">
        <x:v>534</x:v>
      </x:c>
      <x:c r="L57">
        <x:v>0.70560747663551404</x:v>
      </x:c>
      <x:c r="M57">
        <x:v>63</x:v>
      </x:c>
      <x:c r="N57">
        <x:v>-0.33333333333333337</x:v>
      </x:c>
      <x:c r="O57">
        <x:v>83956</x:v>
      </x:c>
      <x:c r="P57">
        <x:v>22046</x:v>
      </x:c>
      <x:c r="Q57">
        <x:v>4.1198501872659277E-2</x:v>
      </x:c>
      <x:c r="R57" t="s">
        <x:v>41</x:v>
      </x:c>
    </x:row>
    <x:row r="58">
      <x:c r="A58" s="37">
        <x:v>46354</x:v>
      </x:c>
      <x:c r="B58" t="s">
        <x:v>21</x:v>
      </x:c>
      <x:c r="C58" t="s">
        <x:v>47</x:v>
      </x:c>
      <x:c r="D58">
        <x:v>49</x:v>
      </x:c>
      <x:c r="E58">
        <x:v>304</x:v>
      </x:c>
      <x:c r="F58">
        <x:v>117</x:v>
      </x:c>
      <x:c r="G58">
        <x:v>55</x:v>
      </x:c>
      <x:c r="H58">
        <x:v>71</x:v>
      </x:c>
      <x:c r="I58">
        <x:v>657</x:v>
      </x:c>
      <x:c r="J58">
        <x:v>413</x:v>
      </x:c>
      <x:c r="K58">
        <x:v>734</x:v>
      </x:c>
      <x:c r="L58">
        <x:v>0.38486842105263158</x:v>
      </x:c>
      <x:c r="M58">
        <x:v>187</x:v>
      </x:c>
      <x:c r="N58">
        <x:v>-0.22535211267605637</x:v>
      </x:c>
      <x:c r="O58">
        <x:v>76869</x:v>
      </x:c>
      <x:c r="P58">
        <x:v>28548</x:v>
      </x:c>
      <x:c r="Q58">
        <x:v>-0.10490463215258861</x:v>
      </x:c>
      <x:c r="R58" t="s">
        <x:v>41</x:v>
      </x:c>
    </x:row>
    <x:row r="59">
      <x:c r="A59" s="37">
        <x:v>46361</x:v>
      </x:c>
      <x:c r="B59" t="s">
        <x:v>21</x:v>
      </x:c>
      <x:c r="C59" t="s">
        <x:v>47</x:v>
      </x:c>
      <x:c r="D59">
        <x:v>56</x:v>
      </x:c>
      <x:c r="E59">
        <x:v>286</x:v>
      </x:c>
      <x:c r="F59">
        <x:v>114</x:v>
      </x:c>
      <x:c r="G59">
        <x:v>42</x:v>
      </x:c>
      <x:c r="H59">
        <x:v>45</x:v>
      </x:c>
      <x:c r="I59">
        <x:v>612</x:v>
      </x:c>
      <x:c r="J59">
        <x:v>391</x:v>
      </x:c>
      <x:c r="K59">
        <x:v>583</x:v>
      </x:c>
      <x:c r="L59">
        <x:v>0.39860139860139859</x:v>
      </x:c>
      <x:c r="M59">
        <x:v>172</x:v>
      </x:c>
      <x:c r="N59">
        <x:v>-6.6666666666666652E-2</x:v>
      </x:c>
      <x:c r="O59">
        <x:v>69768</x:v>
      </x:c>
      <x:c r="P59">
        <x:v>25194</x:v>
      </x:c>
      <x:c r="Q59">
        <x:v>4.9742710120068701E-2</x:v>
      </x:c>
      <x:c r="R59" t="s">
        <x:v>41</x:v>
      </x:c>
    </x:row>
    <x:row r="60">
      <x:c r="A60" s="37">
        <x:v>46368</x:v>
      </x:c>
      <x:c r="B60" t="s">
        <x:v>21</x:v>
      </x:c>
      <x:c r="C60" t="s">
        <x:v>47</x:v>
      </x:c>
      <x:c r="D60">
        <x:v>63</x:v>
      </x:c>
      <x:c r="E60">
        <x:v>214</x:v>
      </x:c>
      <x:c r="F60">
        <x:v>107</x:v>
      </x:c>
      <x:c r="G60">
        <x:v>15</x:v>
      </x:c>
      <x:c r="H60">
        <x:v>15</x:v>
      </x:c>
      <x:c r="I60">
        <x:v>718</x:v>
      </x:c>
      <x:c r="J60">
        <x:v>403</x:v>
      </x:c>
      <x:c r="K60">
        <x:v>688</x:v>
      </x:c>
      <x:c r="L60">
        <x:v>0.5</x:v>
      </x:c>
      <x:c r="M60">
        <x:v>107</x:v>
      </x:c>
      <x:c r="N60">
        <x:v>0</x:v>
      </x:c>
      <x:c r="O60">
        <x:v>76826</x:v>
      </x:c>
      <x:c r="P60">
        <x:v>33705</x:v>
      </x:c>
      <x:c r="Q60">
        <x:v>4.3604651162790775E-2</x:v>
      </x:c>
      <x:c r="R60" t="s">
        <x:v>41</x:v>
      </x:c>
    </x:row>
    <x:row r="61">
      <x:c r="A61" s="37">
        <x:v>46375</x:v>
      </x:c>
      <x:c r="B61" t="s">
        <x:v>21</x:v>
      </x:c>
      <x:c r="C61" t="s">
        <x:v>47</x:v>
      </x:c>
      <x:c r="D61">
        <x:v>70</x:v>
      </x:c>
      <x:c r="E61">
        <x:v>186</x:v>
      </x:c>
      <x:c r="F61">
        <x:v>59</x:v>
      </x:c>
      <x:c r="G61">
        <x:v>31</x:v>
      </x:c>
      <x:c r="H61">
        <x:v>30</x:v>
      </x:c>
      <x:c r="I61">
        <x:v>587</x:v>
      </x:c>
      <x:c r="J61">
        <x:v>399</x:v>
      </x:c>
      <x:c r="K61">
        <x:v>527</x:v>
      </x:c>
      <x:c r="L61">
        <x:v>0.31720430107526881</x:v>
      </x:c>
      <x:c r="M61">
        <x:v>127</x:v>
      </x:c>
      <x:c r="N61">
        <x:v>3.3333333333333437E-2</x:v>
      </x:c>
      <x:c r="O61">
        <x:v>34633</x:v>
      </x:c>
      <x:c r="P61">
        <x:v>11092</x:v>
      </x:c>
      <x:c r="Q61">
        <x:v>0.1138519924098671</x:v>
      </x:c>
      <x:c r="R61" t="s">
        <x:v>41</x:v>
      </x:c>
    </x:row>
    <x:row r="62">
      <x:c r="A62" s="37">
        <x:v>46382</x:v>
      </x:c>
      <x:c r="B62" t="s">
        <x:v>21</x:v>
      </x:c>
      <x:c r="C62" t="s">
        <x:v>47</x:v>
      </x:c>
      <x:c r="D62">
        <x:v>77</x:v>
      </x:c>
      <x:c r="E62">
        <x:v>252</x:v>
      </x:c>
      <x:c r="F62">
        <x:v>41</x:v>
      </x:c>
      <x:c r="G62">
        <x:v>43</x:v>
      </x:c>
      <x:c r="H62">
        <x:v>65</x:v>
      </x:c>
      <x:c r="I62">
        <x:v>608</x:v>
      </x:c>
      <x:c r="J62">
        <x:v>378</x:v>
      </x:c>
      <x:c r="K62">
        <x:v>632</x:v>
      </x:c>
      <x:c r="L62">
        <x:v>0.1626984126984127</x:v>
      </x:c>
      <x:c r="M62">
        <x:v>211</x:v>
      </x:c>
      <x:c r="N62">
        <x:v>-0.33846153846153848</x:v>
      </x:c>
      <x:c r="O62">
        <x:v>24928</x:v>
      </x:c>
      <x:c r="P62">
        <x:v>9430</x:v>
      </x:c>
      <x:c r="Q62">
        <x:v>-3.7974683544303778E-2</x:v>
      </x:c>
      <x:c r="R62" t="s">
        <x:v>41</x:v>
      </x:c>
    </x:row>
    <x:row r="63">
      <x:c r="A63" s="37">
        <x:v>46389</x:v>
      </x:c>
      <x:c r="B63" t="s">
        <x:v>21</x:v>
      </x:c>
      <x:c r="C63" t="s">
        <x:v>47</x:v>
      </x:c>
      <x:c r="D63">
        <x:v>84</x:v>
      </x:c>
      <x:c r="E63">
        <x:v>228</x:v>
      </x:c>
      <x:c r="F63">
        <x:v>64</x:v>
      </x:c>
      <x:c r="G63">
        <x:v>28</x:v>
      </x:c>
      <x:c r="H63">
        <x:v>28</x:v>
      </x:c>
      <x:c r="I63">
        <x:v>676</x:v>
      </x:c>
      <x:c r="J63">
        <x:v>406</x:v>
      </x:c>
      <x:c r="K63">
        <x:v>697</x:v>
      </x:c>
      <x:c r="L63">
        <x:v>0.2807017543859649</x:v>
      </x:c>
      <x:c r="M63">
        <x:v>164</x:v>
      </x:c>
      <x:c r="N63">
        <x:v>0</x:v>
      </x:c>
      <x:c r="O63">
        <x:v>43264</x:v>
      </x:c>
      <x:c r="P63">
        <x:v>17280</x:v>
      </x:c>
      <x:c r="Q63">
        <x:v>-3.0129124820659992E-2</x:v>
      </x:c>
      <x:c r="R63" t="s">
        <x:v>41</x:v>
      </x:c>
    </x:row>
    <x:row r="64">
      <x:c r="A64" s="37">
        <x:v>46312</x:v>
      </x:c>
      <x:c r="B64" t="s">
        <x:v>17</x:v>
      </x:c>
      <x:c r="C64" t="s">
        <x:v>48</x:v>
      </x:c>
      <x:c r="D64">
        <x:v>7</x:v>
      </x:c>
      <x:c r="E64">
        <x:v>286</x:v>
      </x:c>
      <x:c r="F64">
        <x:v>257</x:v>
      </x:c>
      <x:c r="G64">
        <x:v>15</x:v>
      </x:c>
      <x:c r="H64">
        <x:v>12</x:v>
      </x:c>
      <x:c r="I64">
        <x:v>717</x:v>
      </x:c>
      <x:c r="J64">
        <x:v>462</x:v>
      </x:c>
      <x:c r="K64">
        <x:v>706</x:v>
      </x:c>
      <x:c r="L64">
        <x:v>0.89860139860139865</x:v>
      </x:c>
      <x:c r="M64">
        <x:v>29</x:v>
      </x:c>
      <x:c r="N64">
        <x:v>0.25</x:v>
      </x:c>
      <x:c r="O64">
        <x:v>184269</x:v>
      </x:c>
      <x:c r="P64">
        <x:v>65535</x:v>
      </x:c>
      <x:c r="Q64">
        <x:v>1.5580736543909346E-2</x:v>
      </x:c>
      <x:c r="R64" t="s">
        <x:v>42</x:v>
      </x:c>
    </x:row>
    <x:row r="65">
      <x:c r="A65" s="37">
        <x:v>46319</x:v>
      </x:c>
      <x:c r="B65" t="s">
        <x:v>17</x:v>
      </x:c>
      <x:c r="C65" t="s">
        <x:v>48</x:v>
      </x:c>
      <x:c r="D65">
        <x:v>14</x:v>
      </x:c>
      <x:c r="E65">
        <x:v>168</x:v>
      </x:c>
      <x:c r="F65">
        <x:v>120</x:v>
      </x:c>
      <x:c r="G65">
        <x:v>11</x:v>
      </x:c>
      <x:c r="H65">
        <x:v>10</x:v>
      </x:c>
      <x:c r="I65">
        <x:v>734</x:v>
      </x:c>
      <x:c r="J65">
        <x:v>464</x:v>
      </x:c>
      <x:c r="K65">
        <x:v>671</x:v>
      </x:c>
      <x:c r="L65">
        <x:v>0.7142857142857143</x:v>
      </x:c>
      <x:c r="M65">
        <x:v>48</x:v>
      </x:c>
      <x:c r="N65">
        <x:v>0.10000000000000009</x:v>
      </x:c>
      <x:c r="O65">
        <x:v>88080</x:v>
      </x:c>
      <x:c r="P65">
        <x:v>32400</x:v>
      </x:c>
      <x:c r="Q65">
        <x:v>9.3889716840536597E-2</x:v>
      </x:c>
      <x:c r="R65" t="s">
        <x:v>41</x:v>
      </x:c>
    </x:row>
    <x:row r="66">
      <x:c r="A66" s="37">
        <x:v>46326</x:v>
      </x:c>
      <x:c r="B66" t="s">
        <x:v>17</x:v>
      </x:c>
      <x:c r="C66" t="s">
        <x:v>48</x:v>
      </x:c>
      <x:c r="D66">
        <x:v>21</x:v>
      </x:c>
      <x:c r="E66">
        <x:v>214</x:v>
      </x:c>
      <x:c r="F66">
        <x:v>173</x:v>
      </x:c>
      <x:c r="G66">
        <x:v>14</x:v>
      </x:c>
      <x:c r="H66">
        <x:v>17</x:v>
      </x:c>
      <x:c r="I66">
        <x:v>677</x:v>
      </x:c>
      <x:c r="J66">
        <x:v>467</x:v>
      </x:c>
      <x:c r="K66">
        <x:v>631</x:v>
      </x:c>
      <x:c r="L66">
        <x:v>0.80841121495327106</x:v>
      </x:c>
      <x:c r="M66">
        <x:v>41</x:v>
      </x:c>
      <x:c r="N66">
        <x:v>-0.17647058823529416</x:v>
      </x:c>
      <x:c r="O66">
        <x:v>117121</x:v>
      </x:c>
      <x:c r="P66">
        <x:v>36330</x:v>
      </x:c>
      <x:c r="Q66">
        <x:v>7.2900158478605315E-2</x:v>
      </x:c>
      <x:c r="R66" t="s">
        <x:v>41</x:v>
      </x:c>
    </x:row>
    <x:row r="67">
      <x:c r="A67" s="37">
        <x:v>46333</x:v>
      </x:c>
      <x:c r="B67" t="s">
        <x:v>17</x:v>
      </x:c>
      <x:c r="C67" t="s">
        <x:v>48</x:v>
      </x:c>
      <x:c r="D67">
        <x:v>28</x:v>
      </x:c>
      <x:c r="E67">
        <x:v>168</x:v>
      </x:c>
      <x:c r="F67">
        <x:v>149</x:v>
      </x:c>
      <x:c r="G67">
        <x:v>13</x:v>
      </x:c>
      <x:c r="H67">
        <x:v>13</x:v>
      </x:c>
      <x:c r="I67">
        <x:v>653</x:v>
      </x:c>
      <x:c r="J67">
        <x:v>477</x:v>
      </x:c>
      <x:c r="K67">
        <x:v>638</x:v>
      </x:c>
      <x:c r="L67">
        <x:v>0.88690476190476186</x:v>
      </x:c>
      <x:c r="M67">
        <x:v>19</x:v>
      </x:c>
      <x:c r="N67">
        <x:v>0</x:v>
      </x:c>
      <x:c r="O67">
        <x:v>97297</x:v>
      </x:c>
      <x:c r="P67">
        <x:v>26224</x:v>
      </x:c>
      <x:c r="Q67">
        <x:v>2.3510971786833812E-2</x:v>
      </x:c>
      <x:c r="R67" t="s">
        <x:v>41</x:v>
      </x:c>
    </x:row>
    <x:row r="68">
      <x:c r="A68" s="37">
        <x:v>46340</x:v>
      </x:c>
      <x:c r="B68" t="s">
        <x:v>17</x:v>
      </x:c>
      <x:c r="C68" t="s">
        <x:v>48</x:v>
      </x:c>
      <x:c r="D68">
        <x:v>35</x:v>
      </x:c>
      <x:c r="E68">
        <x:v>228</x:v>
      </x:c>
      <x:c r="F68">
        <x:v>135</x:v>
      </x:c>
      <x:c r="G68">
        <x:v>26</x:v>
      </x:c>
      <x:c r="H68">
        <x:v>21</x:v>
      </x:c>
      <x:c r="I68">
        <x:v>815</x:v>
      </x:c>
      <x:c r="J68">
        <x:v>479</x:v>
      </x:c>
      <x:c r="K68">
        <x:v>758</x:v>
      </x:c>
      <x:c r="L68">
        <x:v>0.59210526315789469</x:v>
      </x:c>
      <x:c r="M68">
        <x:v>93</x:v>
      </x:c>
      <x:c r="N68">
        <x:v>0.23809523809523814</x:v>
      </x:c>
      <x:c r="O68">
        <x:v>110025</x:v>
      </x:c>
      <x:c r="P68">
        <x:v>45360</x:v>
      </x:c>
      <x:c r="Q68">
        <x:v>7.5197889182057942E-2</x:v>
      </x:c>
      <x:c r="R68" t="s">
        <x:v>41</x:v>
      </x:c>
    </x:row>
    <x:row r="69">
      <x:c r="A69" s="37">
        <x:v>46347</x:v>
      </x:c>
      <x:c r="B69" t="s">
        <x:v>17</x:v>
      </x:c>
      <x:c r="C69" t="s">
        <x:v>48</x:v>
      </x:c>
      <x:c r="D69">
        <x:v>42</x:v>
      </x:c>
      <x:c r="E69">
        <x:v>186</x:v>
      </x:c>
      <x:c r="F69">
        <x:v>141</x:v>
      </x:c>
      <x:c r="G69">
        <x:v>16</x:v>
      </x:c>
      <x:c r="H69">
        <x:v>19</x:v>
      </x:c>
      <x:c r="I69">
        <x:v>811</x:v>
      </x:c>
      <x:c r="J69">
        <x:v>468</x:v>
      </x:c>
      <x:c r="K69">
        <x:v>842</x:v>
      </x:c>
      <x:c r="L69">
        <x:v>0.75806451612903225</x:v>
      </x:c>
      <x:c r="M69">
        <x:v>45</x:v>
      </x:c>
      <x:c r="N69">
        <x:v>-0.15789473684210531</x:v>
      </x:c>
      <x:c r="O69">
        <x:v>114351</x:v>
      </x:c>
      <x:c r="P69">
        <x:v>48363</x:v>
      </x:c>
      <x:c r="Q69">
        <x:v>-3.6817102137767233E-2</x:v>
      </x:c>
      <x:c r="R69" t="s">
        <x:v>41</x:v>
      </x:c>
    </x:row>
    <x:row r="70">
      <x:c r="A70" s="37">
        <x:v>46354</x:v>
      </x:c>
      <x:c r="B70" t="s">
        <x:v>17</x:v>
      </x:c>
      <x:c r="C70" t="s">
        <x:v>48</x:v>
      </x:c>
      <x:c r="D70">
        <x:v>49</x:v>
      </x:c>
      <x:c r="E70">
        <x:v>186</x:v>
      </x:c>
      <x:c r="F70">
        <x:v>105</x:v>
      </x:c>
      <x:c r="G70">
        <x:v>27</x:v>
      </x:c>
      <x:c r="H70">
        <x:v>41</x:v>
      </x:c>
      <x:c r="I70">
        <x:v>766</x:v>
      </x:c>
      <x:c r="J70">
        <x:v>456</x:v>
      </x:c>
      <x:c r="K70">
        <x:v>681</x:v>
      </x:c>
      <x:c r="L70">
        <x:v>0.56451612903225812</x:v>
      </x:c>
      <x:c r="M70">
        <x:v>81</x:v>
      </x:c>
      <x:c r="N70">
        <x:v>-0.34146341463414631</x:v>
      </x:c>
      <x:c r="O70">
        <x:v>80430</x:v>
      </x:c>
      <x:c r="P70">
        <x:v>32550</x:v>
      </x:c>
      <x:c r="Q70">
        <x:v>0.12481644640234957</x:v>
      </x:c>
      <x:c r="R70" t="s">
        <x:v>41</x:v>
      </x:c>
    </x:row>
    <x:row r="71">
      <x:c r="A71" s="37">
        <x:v>46361</x:v>
      </x:c>
      <x:c r="B71" t="s">
        <x:v>17</x:v>
      </x:c>
      <x:c r="C71" t="s">
        <x:v>48</x:v>
      </x:c>
      <x:c r="D71">
        <x:v>56</x:v>
      </x:c>
      <x:c r="E71">
        <x:v>228</x:v>
      </x:c>
      <x:c r="F71">
        <x:v>85</x:v>
      </x:c>
      <x:c r="G71">
        <x:v>36</x:v>
      </x:c>
      <x:c r="H71">
        <x:v>32</x:v>
      </x:c>
      <x:c r="I71">
        <x:v>817</x:v>
      </x:c>
      <x:c r="J71">
        <x:v>480</x:v>
      </x:c>
      <x:c r="K71">
        <x:v>787</x:v>
      </x:c>
      <x:c r="L71">
        <x:v>0.37280701754385964</x:v>
      </x:c>
      <x:c r="M71">
        <x:v>143</x:v>
      </x:c>
      <x:c r="N71">
        <x:v>0.125</x:v>
      </x:c>
      <x:c r="O71">
        <x:v>69445</x:v>
      </x:c>
      <x:c r="P71">
        <x:v>28645</x:v>
      </x:c>
      <x:c r="Q71">
        <x:v>3.8119440914866631E-2</x:v>
      </x:c>
      <x:c r="R71" t="s">
        <x:v>41</x:v>
      </x:c>
    </x:row>
    <x:row r="72">
      <x:c r="A72" s="37">
        <x:v>46368</x:v>
      </x:c>
      <x:c r="B72" t="s">
        <x:v>17</x:v>
      </x:c>
      <x:c r="C72" t="s">
        <x:v>48</x:v>
      </x:c>
      <x:c r="D72">
        <x:v>63</x:v>
      </x:c>
      <x:c r="E72">
        <x:v>286</x:v>
      </x:c>
      <x:c r="F72">
        <x:v>142</x:v>
      </x:c>
      <x:c r="G72">
        <x:v>25</x:v>
      </x:c>
      <x:c r="H72">
        <x:v>34</x:v>
      </x:c>
      <x:c r="I72">
        <x:v>778</x:v>
      </x:c>
      <x:c r="J72">
        <x:v>480</x:v>
      </x:c>
      <x:c r="K72">
        <x:v>686</x:v>
      </x:c>
      <x:c r="L72">
        <x:v>0.49650349650349651</x:v>
      </x:c>
      <x:c r="M72">
        <x:v>144</x:v>
      </x:c>
      <x:c r="N72">
        <x:v>-0.26470588235294112</x:v>
      </x:c>
      <x:c r="O72">
        <x:v>110476</x:v>
      </x:c>
      <x:c r="P72">
        <x:v>42316</x:v>
      </x:c>
      <x:c r="Q72">
        <x:v>0.13411078717201175</x:v>
      </x:c>
      <x:c r="R72" t="s">
        <x:v>41</x:v>
      </x:c>
    </x:row>
    <x:row r="73">
      <x:c r="A73" s="37">
        <x:v>46375</x:v>
      </x:c>
      <x:c r="B73" t="s">
        <x:v>17</x:v>
      </x:c>
      <x:c r="C73" t="s">
        <x:v>48</x:v>
      </x:c>
      <x:c r="D73">
        <x:v>70</x:v>
      </x:c>
      <x:c r="E73">
        <x:v>286</x:v>
      </x:c>
      <x:c r="F73">
        <x:v>114</x:v>
      </x:c>
      <x:c r="G73">
        <x:v>35</x:v>
      </x:c>
      <x:c r="H73">
        <x:v>30</x:v>
      </x:c>
      <x:c r="I73">
        <x:v>669</x:v>
      </x:c>
      <x:c r="J73">
        <x:v>483</x:v>
      </x:c>
      <x:c r="K73">
        <x:v>611</x:v>
      </x:c>
      <x:c r="L73">
        <x:v>0.39860139860139859</x:v>
      </x:c>
      <x:c r="M73">
        <x:v>172</x:v>
      </x:c>
      <x:c r="N73">
        <x:v>0.16666666666666674</x:v>
      </x:c>
      <x:c r="O73">
        <x:v>76266</x:v>
      </x:c>
      <x:c r="P73">
        <x:v>21204</x:v>
      </x:c>
      <x:c r="Q73">
        <x:v>9.4926350245499114E-2</x:v>
      </x:c>
      <x:c r="R73" t="s">
        <x:v>41</x:v>
      </x:c>
    </x:row>
    <x:row r="74">
      <x:c r="A74" s="37">
        <x:v>46382</x:v>
      </x:c>
      <x:c r="B74" t="s">
        <x:v>17</x:v>
      </x:c>
      <x:c r="C74" t="s">
        <x:v>48</x:v>
      </x:c>
      <x:c r="D74">
        <x:v>77</x:v>
      </x:c>
      <x:c r="E74">
        <x:v>214</x:v>
      </x:c>
      <x:c r="F74">
        <x:v>79</x:v>
      </x:c>
      <x:c r="G74">
        <x:v>26</x:v>
      </x:c>
      <x:c r="H74">
        <x:v>38</x:v>
      </x:c>
      <x:c r="I74">
        <x:v>645</x:v>
      </x:c>
      <x:c r="J74">
        <x:v>485</x:v>
      </x:c>
      <x:c r="K74">
        <x:v>633</x:v>
      </x:c>
      <x:c r="L74">
        <x:v>0.36915887850467288</x:v>
      </x:c>
      <x:c r="M74">
        <x:v>135</x:v>
      </x:c>
      <x:c r="N74">
        <x:v>-0.31578947368421051</x:v>
      </x:c>
      <x:c r="O74">
        <x:v>50955</x:v>
      </x:c>
      <x:c r="P74">
        <x:v>12640</x:v>
      </x:c>
      <x:c r="Q74">
        <x:v>1.8957345971563955E-2</x:v>
      </x:c>
      <x:c r="R74" t="s">
        <x:v>41</x:v>
      </x:c>
    </x:row>
    <x:row r="75">
      <x:c r="A75" s="37">
        <x:v>46389</x:v>
      </x:c>
      <x:c r="B75" t="s">
        <x:v>17</x:v>
      </x:c>
      <x:c r="C75" t="s">
        <x:v>48</x:v>
      </x:c>
      <x:c r="D75">
        <x:v>84</x:v>
      </x:c>
      <x:c r="E75">
        <x:v>252</x:v>
      </x:c>
      <x:c r="F75">
        <x:v>62</x:v>
      </x:c>
      <x:c r="G75">
        <x:v>32</x:v>
      </x:c>
      <x:c r="H75">
        <x:v>26</x:v>
      </x:c>
      <x:c r="I75">
        <x:v>785</x:v>
      </x:c>
      <x:c r="J75">
        <x:v>491</x:v>
      </x:c>
      <x:c r="K75">
        <x:v>714</x:v>
      </x:c>
      <x:c r="L75">
        <x:v>0.24603174603174602</x:v>
      </x:c>
      <x:c r="M75">
        <x:v>190</x:v>
      </x:c>
      <x:c r="N75">
        <x:v>0.23076923076923084</x:v>
      </x:c>
      <x:c r="O75">
        <x:v>48670</x:v>
      </x:c>
      <x:c r="P75">
        <x:v>18228</x:v>
      </x:c>
      <x:c r="Q75">
        <x:v>9.9439775910364236E-2</x:v>
      </x:c>
      <x:c r="R75" t="s">
        <x:v>41</x:v>
      </x:c>
    </x:row>
  </x:sheetData>
  <x:pageMargins left="0.7" right="0.7" top="0.75" bottom="0.75" header="0.3" footer="0.3"/>
  <x:tableParts count="1">
    <x:tablePart xmlns:r="http://schemas.openxmlformats.org/officeDocument/2006/relationships" r:id="R86e9936cc3a04c5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25"/>
  <x:cols>
    <x:col min="1" max="1" width="19" hidden="0" customWidth="1"/>
    <x:col min="2" max="2" width="25" hidden="0" customWidth="1"/>
    <x:col min="3" max="3" width="26" hidden="0" customWidth="1"/>
    <x:col min="4" max="4" width="23" hidden="0" customWidth="1"/>
    <x:col min="6" max="6" width="10.75" customWidth="1"/>
    <x:col min="7" max="7" width="14.375" customWidth="1"/>
  </x:cols>
  <x:sheetData>
    <x:row r="1" ht="34" customHeight="1">
      <x:c r="A1" s="183" t="str">
        <x:v>WEEKLY BOOKING GROWTH  |  DESTINATION ANALYSIS</x:v>
      </x:c>
      <x:c r="B1" s="183"/>
      <x:c r="C1" s="183"/>
      <x:c r="D1" s="183"/>
    </x:row>
    <x:row r="2" ht="24" customHeight="1">
      <x:c r="A2" s="170" t="str">
        <x:v>Booking growth = (last seven days − prior seven days) ÷ prior seven days.</x:v>
      </x:c>
      <x:c r="B2" s="170"/>
      <x:c r="C2" s="170"/>
      <x:c r="D2" s="170"/>
    </x:row>
    <x:row r="3" ht="27" customHeight="1">
      <x:c r="A3" s="99" t="s">
        <x:v>10</x:v>
      </x:c>
      <x:c r="B3" s="99" t="s">
        <x:v>49</x:v>
      </x:c>
      <x:c r="C3" s="99" t="s">
        <x:v>50</x:v>
      </x:c>
      <x:c r="D3" s="186" t="s">
        <x:v>51</x:v>
      </x:c>
      <x:c r="F3" s="36" t="s">
        <x:v>10</x:v>
      </x:c>
      <x:c r="G3" s="36" t="s">
        <x:v>51</x:v>
      </x:c>
    </x:row>
    <x:row r="4">
      <x:c r="A4" s="34" t="s">
        <x:v>20</x:v>
      </x:c>
      <x:c r="B4" s="35">
        <x:v>376</x:v>
      </x:c>
      <x:c r="C4" s="35">
        <x:v>378</x:v>
      </x:c>
      <x:c r="D4" s="192" t="n">
        <x:f>(B4-C4)/C4</x:f>
        <x:v>-0.005291005291005291</x:v>
      </x:c>
      <x:c r="F4" s="34" t="s">
        <x:v>18</x:v>
      </x:c>
      <x:c r="G4" s="40">
        <x:v>4.9479166666666664E-2</x:v>
      </x:c>
    </x:row>
    <x:row r="5">
      <x:c r="A5" s="34" t="s">
        <x:v>19</x:v>
      </x:c>
      <x:c r="B5" s="35">
        <x:v>306</x:v>
      </x:c>
      <x:c r="C5" s="35">
        <x:v>359</x:v>
      </x:c>
      <x:c r="D5" s="192" t="n">
        <x:f t="shared" ref="D5:D9" si="0">(B5-C5)/C5</x:f>
        <x:v>-0.14763231197771587</x:v>
      </x:c>
      <x:c r="F5" s="34" t="s">
        <x:v>20</x:v>
      </x:c>
      <x:c r="G5" s="40">
        <x:v>-5.2910052910052907E-3</x:v>
      </x:c>
    </x:row>
    <x:row r="6">
      <x:c r="A6" s="34" t="s">
        <x:v>18</x:v>
      </x:c>
      <x:c r="B6" s="35">
        <x:v>403</x:v>
      </x:c>
      <x:c r="C6" s="35">
        <x:v>384</x:v>
      </x:c>
      <x:c r="D6" s="192">
        <x:f t="shared" si="0"/>
        <x:v>4.9479166666666664E-2</x:v>
      </x:c>
      <x:c r="F6" s="34" t="s">
        <x:v>22</x:v>
      </x:c>
      <x:c r="G6" s="40">
        <x:v>-4.2168674698795178E-2</x:v>
      </x:c>
    </x:row>
    <x:row r="7">
      <x:c r="A7" s="34" t="s">
        <x:v>22</x:v>
      </x:c>
      <x:c r="B7" s="35">
        <x:v>318</x:v>
      </x:c>
      <x:c r="C7" s="35">
        <x:v>332</x:v>
      </x:c>
      <x:c r="D7" s="192">
        <x:f t="shared" si="0"/>
        <x:v>-4.2168674698795178E-2</x:v>
      </x:c>
      <x:c r="F7" s="34" t="s">
        <x:v>17</x:v>
      </x:c>
      <x:c r="G7" s="40">
        <x:v>-5.8020477815699661E-2</x:v>
      </x:c>
    </x:row>
    <x:row r="8">
      <x:c r="A8" s="34" t="s">
        <x:v>21</x:v>
      </x:c>
      <x:c r="B8" s="35">
        <x:v>346</x:v>
      </x:c>
      <x:c r="C8" s="35">
        <x:v>434</x:v>
      </x:c>
      <x:c r="D8" s="192">
        <x:f t="shared" si="0"/>
        <x:v>-0.20276497695852536</x:v>
      </x:c>
      <x:c r="F8" s="34" t="s">
        <x:v>19</x:v>
      </x:c>
      <x:c r="G8" s="40">
        <x:v>-0.14763231197771587</x:v>
      </x:c>
    </x:row>
    <x:row r="9">
      <x:c r="A9" s="34" t="s">
        <x:v>17</x:v>
      </x:c>
      <x:c r="B9" s="35">
        <x:v>276</x:v>
      </x:c>
      <x:c r="C9" s="35">
        <x:v>293</x:v>
      </x:c>
      <x:c r="D9" s="192">
        <x:f t="shared" si="0"/>
        <x:v>-5.8020477815699661E-2</x:v>
      </x:c>
      <x:c r="F9" s="34" t="s">
        <x:v>21</x:v>
      </x:c>
      <x:c r="G9" s="40">
        <x:v>-0.20276497695852536</x:v>
      </x:c>
    </x:row>
    <x:row r="10">
      <x:c r="A10" s="34" t="s">
        <x:v>52</x:v>
      </x:c>
      <x:c r="B10" s="35">
        <x:v>2025</x:v>
      </x:c>
      <x:c r="C10" s="35">
        <x:v>2180</x:v>
      </x:c>
    </x:row>
  </x:sheetData>
  <x:pageMargins left="0.7" right="0.7" top="0.75" bottom="0.75" header="0.3" footer="0.3"/>
  <x:drawing xmlns:r="http://schemas.openxmlformats.org/officeDocument/2006/relationships" r:id="R4b060f2b76744340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25"/>
  <x:cols>
    <x:col min="1" max="1" width="19" hidden="0" customWidth="1"/>
    <x:col min="2" max="2" width="25" hidden="0" customWidth="1"/>
    <x:col min="3" max="3" width="26" hidden="0" customWidth="1"/>
    <x:col min="4" max="4" width="23" hidden="0" customWidth="1"/>
    <x:col min="5" max="5" width="10.75" customWidth="1"/>
    <x:col min="9" max="9" width="11.5" customWidth="1"/>
    <x:col min="10" max="10" width="11.25" customWidth="1"/>
  </x:cols>
  <x:sheetData>
    <x:row r="1" ht="34" customHeight="1">
      <x:c r="A1" s="183" t="str">
        <x:v>SEAT UTILISATION  |  DESTINATION ANALYSIS</x:v>
      </x:c>
      <x:c r="B1" s="183"/>
      <x:c r="C1" s="183"/>
      <x:c r="D1" s="183"/>
    </x:row>
    <x:row r="2" ht="24" customHeight="1">
      <x:c r="A2" s="170" t="str">
        <x:v>Aggregate load factor = total seats sold ÷ total seat capacity.</x:v>
      </x:c>
      <x:c r="B2" s="170"/>
      <x:c r="C2" s="170"/>
      <x:c r="D2" s="170"/>
    </x:row>
    <x:row r="3" ht="27" customHeight="1">
      <x:c r="A3" s="99" t="s">
        <x:v>10</x:v>
      </x:c>
      <x:c r="B3" s="99" t="s">
        <x:v>53</x:v>
      </x:c>
      <x:c r="C3" s="99" t="s">
        <x:v>54</x:v>
      </x:c>
      <x:c r="D3" s="99" t="s">
        <x:v>55</x:v>
      </x:c>
      <x:c r="E3" s="189" t="s">
        <x:v>56</x:v>
      </x:c>
      <x:c r="I3" s="36" t="s">
        <x:v>10</x:v>
      </x:c>
      <x:c r="J3" s="36" t="s">
        <x:v>56</x:v>
      </x:c>
    </x:row>
    <x:row r="4">
      <x:c r="A4" s="34" t="s">
        <x:v>20</x:v>
      </x:c>
      <x:c r="B4" s="35">
        <x:v>2944</x:v>
      </x:c>
      <x:c r="C4" s="21">
        <x:v>1045940</x:v>
      </x:c>
      <x:c r="D4" s="35">
        <x:v>1520</x:v>
      </x:c>
      <x:c r="E4" s="191" t="n">
        <x:f>D4/B4</x:f>
        <x:v>0.5163043478260869</x:v>
      </x:c>
      <x:c r="F4" s="38"/>
      <x:c r="I4" s="34" t="s">
        <x:v>20</x:v>
      </x:c>
      <x:c r="J4" s="39" t="n">
        <x:f>D4/B4</x:f>
        <x:v>0.5163043478260869</x:v>
      </x:c>
    </x:row>
    <x:row r="5">
      <x:c r="A5" s="34" t="s">
        <x:v>19</x:v>
      </x:c>
      <x:c r="B5" s="35">
        <x:v>2970</x:v>
      </x:c>
      <x:c r="C5" s="21">
        <x:v>818718</x:v>
      </x:c>
      <x:c r="D5" s="35">
        <x:v>1483</x:v>
      </x:c>
      <x:c r="E5" s="191" t="n">
        <x:f t="shared" ref="E5:E9" si="0">D5/B5</x:f>
        <x:v>0.49932659932659934</x:v>
      </x:c>
      <x:c r="F5" s="38"/>
      <x:c r="I5" s="34" t="s">
        <x:v>19</x:v>
      </x:c>
      <x:c r="J5" s="39" t="n">
        <x:f t="shared" ref="J5:J9" si="1">D5/B5</x:f>
        <x:v>0.49932659932659934</x:v>
      </x:c>
    </x:row>
    <x:row r="6">
      <x:c r="A6" s="34" t="s">
        <x:v>18</x:v>
      </x:c>
      <x:c r="B6" s="35">
        <x:v>2910</x:v>
      </x:c>
      <x:c r="C6" s="21">
        <x:v>768195</x:v>
      </x:c>
      <x:c r="D6" s="35">
        <x:v>1264</x:v>
      </x:c>
      <x:c r="E6" s="191">
        <x:f t="shared" si="0"/>
        <x:v>0.43436426116838489</x:v>
      </x:c>
      <x:c r="F6" s="38"/>
      <x:c r="I6" s="34" t="s">
        <x:v>18</x:v>
      </x:c>
      <x:c r="J6" s="39">
        <x:f t="shared" si="1"/>
        <x:v>0.43436426116838489</x:v>
      </x:c>
    </x:row>
    <x:row r="7">
      <x:c r="A7" s="34" t="s">
        <x:v>22</x:v>
      </x:c>
      <x:c r="B7" s="35">
        <x:v>2866</x:v>
      </x:c>
      <x:c r="C7" s="21">
        <x:v>924205</x:v>
      </x:c>
      <x:c r="D7" s="35">
        <x:v>1529</x:v>
      </x:c>
      <x:c r="E7" s="191">
        <x:f t="shared" si="0"/>
        <x:v>0.53349616189811588</x:v>
      </x:c>
      <x:c r="F7" s="38"/>
      <x:c r="I7" s="34" t="s">
        <x:v>22</x:v>
      </x:c>
      <x:c r="J7" s="39">
        <x:f t="shared" si="1"/>
        <x:v>0.53349616189811588</x:v>
      </x:c>
    </x:row>
    <x:row r="8">
      <x:c r="A8" s="34" t="s">
        <x:v>21</x:v>
      </x:c>
      <x:c r="B8" s="35">
        <x:v>2908</x:v>
      </x:c>
      <x:c r="C8" s="21">
        <x:v>888613</x:v>
      </x:c>
      <x:c r="D8" s="35">
        <x:v>1431</x:v>
      </x:c>
      <x:c r="E8" s="191">
        <x:f t="shared" si="0"/>
        <x:v>0.49209078404401652</x:v>
      </x:c>
      <x:c r="F8" s="38"/>
      <x:c r="I8" s="34" t="s">
        <x:v>21</x:v>
      </x:c>
      <x:c r="J8" s="39">
        <x:f t="shared" si="1"/>
        <x:v>0.49209078404401652</x:v>
      </x:c>
    </x:row>
    <x:row r="9">
      <x:c r="A9" s="34" t="s">
        <x:v>17</x:v>
      </x:c>
      <x:c r="B9" s="35">
        <x:v>2702</x:v>
      </x:c>
      <x:c r="C9" s="21">
        <x:v>1147385</x:v>
      </x:c>
      <x:c r="D9" s="35">
        <x:v>1562</x:v>
      </x:c>
      <x:c r="E9" s="191">
        <x:f t="shared" si="0"/>
        <x:v>0.57809030347890455</x:v>
      </x:c>
      <x:c r="F9" s="38"/>
      <x:c r="I9" s="34" t="s">
        <x:v>17</x:v>
      </x:c>
      <x:c r="J9" s="39">
        <x:f t="shared" si="1"/>
        <x:v>0.57809030347890455</x:v>
      </x:c>
    </x:row>
    <x:row r="10">
      <x:c r="A10" s="34" t="s">
        <x:v>52</x:v>
      </x:c>
      <x:c r="B10" s="35">
        <x:v>17300</x:v>
      </x:c>
      <x:c r="C10" s="21">
        <x:v>5593056</x:v>
      </x:c>
      <x:c r="D10" s="35">
        <x:v>8789</x:v>
      </x:c>
    </x:row>
  </x:sheetData>
  <x:pageMargins left="0.7" right="0.7" top="0.75" bottom="0.75" header="0.3" footer="0.3"/>
  <x:drawing xmlns:r="http://schemas.openxmlformats.org/officeDocument/2006/relationships" r:id="Ra8e8ddae27e24e17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25"/>
  <x:cols>
    <x:col min="1" max="1" width="19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19" hidden="0" customWidth="1"/>
    <x:col min="8" max="8" width="23" hidden="0" customWidth="1"/>
    <x:col min="11" max="11" width="24" hidden="0" customWidth="1"/>
    <x:col min="7" max="7" width="3" hidden="0" customWidth="1"/>
    <x:col min="9" max="9" width="15" hidden="0" customWidth="1"/>
    <x:col min="10" max="10" width="15" hidden="0" customWidth="1"/>
    <x:col min="12" max="12" width="15" hidden="0" customWidth="1"/>
    <x:col min="13" max="13" width="15" hidden="0" customWidth="1"/>
  </x:cols>
  <x:sheetData>
    <x:row r="1" ht="37" customHeight="1">
      <x:c r="A1" s="84" t="str">
        <x:v>HOLIDAY YIELD  |  DESTINATION PERFORMANCE</x:v>
      </x:c>
      <x:c r="B1" s="84"/>
      <x:c r="C1" s="84"/>
      <x:c r="D1" s="85"/>
      <x:c r="E1" s="85"/>
      <x:c r="F1" s="85"/>
      <x:c r="G1" s="85"/>
      <x:c r="H1" s="85"/>
      <x:c r="I1" s="85"/>
      <x:c r="J1" s="85"/>
      <x:c r="K1" s="85"/>
    </x:row>
    <x:row r="2" ht="27" customHeight="1">
      <x:c r="A2" s="94" t="str">
        <x:v>Commercial analytics portfolio  •  6 destinations  •  Synthetic booking data, not actual TUI results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28" customHeight="1">
      <x:c r="A3" s="100" t="s">
        <x:v>10</x:v>
      </x:c>
      <x:c r="B3" s="100" t="s">
        <x:v>56</x:v>
      </x:c>
      <x:c r="C3" s="100" t="s">
        <x:v>51</x:v>
      </x:c>
      <x:c r="D3" s="100" t="s">
        <x:v>57</x:v>
      </x:c>
      <x:c r="E3" s="100" t="s">
        <x:v>58</x:v>
      </x:c>
      <x:c r="F3" s="100" t="s">
        <x:v>59</x:v>
      </x:c>
      <x:c r="H3" s="100" t="str">
        <x:v>PRICING SCENARIO</x:v>
      </x:c>
      <x:c r="I3" s="100" t="str">
        <x:v>Price (£)</x:v>
      </x:c>
      <x:c r="J3" s="100" t="str">
        <x:v>Bookings</x:v>
      </x:c>
      <x:c r="K3" s="100" t="str">
        <x:v>Contribution (£)</x:v>
      </x:c>
    </x:row>
    <x:row r="4" ht="28" customHeight="1">
      <x:c r="A4" s="118" t="s">
        <x:v>20</x:v>
      </x:c>
      <x:c r="B4" s="105" t="n">
        <x:f>_xlfn.XLOOKUP(A4,'Load Factor'!$A$4:$A$9,'Load Factor'!$E$4:$E$9)</x:f>
        <x:v>0.5163043478260869</x:v>
      </x:c>
      <x:c r="C4" s="122" t="n">
        <x:f>_xlfn.XLOOKUP(A4, 'Booking Growth'!$A$4:$A$9,'Booking Growth'!$D$4:$D$9)</x:f>
        <x:v>-0.005291005291005291</x:v>
      </x:c>
      <x:c r="D4" s="104" t="str">
        <x:f>IF(AND(B4&lt;50%,C4&lt;-10%),"Review Priority","Monitor")</x:f>
        <x:v>Monitor</x:v>
      </x:c>
      <x:c r="E4" s="126" t="n">
        <x:f>_xlfn.XLOOKUP(A4,'Load Factor'!$A$4:$A$9,'Load Factor'!$B$4:$B$9)-_xlfn.XLOOKUP(A4,'Load Factor'!$A$4:$A$9,'Load Factor'!$D$4:$D$9)</x:f>
        <x:v>1424</x:v>
      </x:c>
      <x:c r="F4" s="122" t="n">
        <x:f>_xlfn.XLOOKUP(A4,'Price Analysis'!$A$4:$A$9,'Price Analysis'!$D$4:$D$9)</x:f>
        <x:v>0.003699136868064118</x:v>
      </x:c>
      <x:c r="H4" s="130" t="s">
        <x:v>60</x:v>
      </x:c>
      <x:c r="I4" s="198">
        <x:v>800</x:v>
      </x:c>
      <x:c r="J4" s="137">
        <x:v>20</x:v>
      </x:c>
      <x:c r="K4" s="198" t="n">
        <x:f>(I4-500)*J4</x:f>
        <x:v>6000</x:v>
      </x:c>
    </x:row>
    <x:row r="5" ht="28" customHeight="1">
      <x:c r="A5" s="119" t="s">
        <x:v>19</x:v>
      </x:c>
      <x:c r="B5" s="110" t="n">
        <x:f>_xlfn.XLOOKUP(A5,'Load Factor'!$A$4:$A$9,'Load Factor'!$E$4:$E$9)</x:f>
        <x:v>0.49932659932659934</x:v>
      </x:c>
      <x:c r="C5" s="123" t="n">
        <x:f>_xlfn.XLOOKUP(A5, 'Booking Growth'!$A$4:$A$9,'Booking Growth'!$D$4:$D$9)</x:f>
        <x:v>-0.14763231197771587</x:v>
      </x:c>
      <x:c r="D5" s="92" t="str">
        <x:f t="shared" ref="D5:D9" si="0">IF(AND(B5&lt;50%,C5&lt;-10%),"Review Priority","Monitor")</x:f>
        <x:v>Review Priority</x:v>
      </x:c>
      <x:c r="E5" s="127" t="n">
        <x:f>_xlfn.XLOOKUP(A5,'Load Factor'!$A$4:$A$9,'Load Factor'!$B$4:$B$9)-_xlfn.XLOOKUP(A5,'Load Factor'!$A$4:$A$9,'Load Factor'!$D$4:$D$9)</x:f>
        <x:v>1487</x:v>
      </x:c>
      <x:c r="F5" s="123" t="n">
        <x:f>_xlfn.XLOOKUP(A5,'Price Analysis'!$A$4:$A$9,'Price Analysis'!$D$4:$D$9)</x:f>
        <x:v>0.005600121083698969</x:v>
      </x:c>
      <x:c r="H5" s="92" t="s">
        <x:v>61</x:v>
      </x:c>
      <x:c r="I5" s="199">
        <x:v>760</x:v>
      </x:c>
      <x:c r="J5" s="139">
        <x:v>22</x:v>
      </x:c>
      <x:c r="K5" s="199" t="n">
        <x:f>(I5-500)*J5</x:f>
        <x:v>5720</x:v>
      </x:c>
    </x:row>
    <x:row r="6" ht="27" customHeight="1">
      <x:c r="A6" s="118" t="s">
        <x:v>18</x:v>
      </x:c>
      <x:c r="B6" s="105" t="n">
        <x:f>_xlfn.XLOOKUP(A6,'Load Factor'!$A$4:$A$9,'Load Factor'!$E$4:$E$9)</x:f>
        <x:v>0.4343642611683849</x:v>
      </x:c>
      <x:c r="C6" s="122" t="n">
        <x:f>_xlfn.XLOOKUP(A6, 'Booking Growth'!$A$4:$A$9,'Booking Growth'!$D$4:$D$9)</x:f>
        <x:v>0.049479166666666664</x:v>
      </x:c>
      <x:c r="D6" s="104" t="str">
        <x:f t="shared" si="0"/>
        <x:v>Monitor</x:v>
      </x:c>
      <x:c r="E6" s="126" t="n">
        <x:f>_xlfn.XLOOKUP(A6,'Load Factor'!$A$4:$A$9,'Load Factor'!$B$4:$B$9)-_xlfn.XLOOKUP(A6,'Load Factor'!$A$4:$A$9,'Load Factor'!$D$4:$D$9)</x:f>
        <x:v>1646</x:v>
      </x:c>
      <x:c r="F6" s="122" t="n">
        <x:f>_xlfn.XLOOKUP(A6,'Price Analysis'!$A$4:$A$9,'Price Analysis'!$D$4:$D$9)</x:f>
        <x:v>-0.002298850574712582</x:v>
      </x:c>
    </x:row>
    <x:row r="7" ht="25" customHeight="1">
      <x:c r="A7" s="119" t="s">
        <x:v>22</x:v>
      </x:c>
      <x:c r="B7" s="110" t="n">
        <x:f>_xlfn.XLOOKUP(A7,'Load Factor'!$A$4:$A$9,'Load Factor'!$E$4:$E$9)</x:f>
        <x:v>0.5334961618981159</x:v>
      </x:c>
      <x:c r="C7" s="123" t="n">
        <x:f>_xlfn.XLOOKUP(A7, 'Booking Growth'!$A$4:$A$9,'Booking Growth'!$D$4:$D$9)</x:f>
        <x:v>-0.04216867469879518</x:v>
      </x:c>
      <x:c r="D7" s="92" t="str">
        <x:f t="shared" si="0"/>
        <x:v>Monitor</x:v>
      </x:c>
      <x:c r="E7" s="127" t="n">
        <x:f>_xlfn.XLOOKUP(A7,'Load Factor'!$A$4:$A$9,'Load Factor'!$B$4:$B$9)-_xlfn.XLOOKUP(A7,'Load Factor'!$A$4:$A$9,'Load Factor'!$D$4:$D$9)</x:f>
        <x:v>1337</x:v>
      </x:c>
      <x:c r="F7" s="123" t="n">
        <x:f>_xlfn.XLOOKUP(A7,'Price Analysis'!$A$4:$A$9,'Price Analysis'!$D$4:$D$9)</x:f>
        <x:v>0.007722007722007659</x:v>
      </x:c>
      <x:c r="H7" s="145" t="str">
        <x:v>SCENARIO TAKEAWAY</x:v>
      </x:c>
      <x:c r="I7" s="145"/>
      <x:c r="J7" s="145"/>
      <x:c r="K7" s="145"/>
    </x:row>
    <x:row r="8" ht="27" customHeight="1">
      <x:c r="A8" s="118" t="s">
        <x:v>21</x:v>
      </x:c>
      <x:c r="B8" s="105" t="n">
        <x:f>_xlfn.XLOOKUP(A8,'Load Factor'!$A$4:$A$9,'Load Factor'!$E$4:$E$9)</x:f>
        <x:v>0.4920907840440165</x:v>
      </x:c>
      <x:c r="C8" s="122" t="n">
        <x:f>_xlfn.XLOOKUP(A8, 'Booking Growth'!$A$4:$A$9,'Booking Growth'!$D$4:$D$9)</x:f>
        <x:v>-0.20276497695852536</x:v>
      </x:c>
      <x:c r="D8" s="104" t="str">
        <x:f t="shared" si="0"/>
        <x:v>Review Priority</x:v>
      </x:c>
      <x:c r="E8" s="126" t="n">
        <x:f>_xlfn.XLOOKUP(A8,'Load Factor'!$A$4:$A$9,'Load Factor'!$B$4:$B$9)-_xlfn.XLOOKUP(A8,'Load Factor'!$A$4:$A$9,'Load Factor'!$D$4:$D$9)</x:f>
        <x:v>1477</x:v>
      </x:c>
      <x:c r="F8" s="122" t="n">
        <x:f>_xlfn.XLOOKUP(A8,'Price Analysis'!$A$4:$A$9,'Price Analysis'!$D$4:$D$9)</x:f>
        <x:v>-0.0005364806866953399</x:v>
      </x:c>
      <x:c r="H8" s="119" t="str">
        <x:v>Hold-price contribution advantage</x:v>
      </x:c>
      <x:c r="I8" s="119"/>
      <x:c r="J8" s="119"/>
      <x:c r="K8" s="202" t="n">
        <x:f>K4-K5</x:f>
        <x:v>280</x:v>
      </x:c>
    </x:row>
    <x:row r="9" ht="24" customHeight="1">
      <x:c r="A9" s="119" t="s">
        <x:v>17</x:v>
      </x:c>
      <x:c r="B9" s="110" t="n">
        <x:f>_xlfn.XLOOKUP(A9,'Load Factor'!$A$4:$A$9,'Load Factor'!$E$4:$E$9)</x:f>
        <x:v>0.5780903034789046</x:v>
      </x:c>
      <x:c r="C9" s="123" t="n">
        <x:f>_xlfn.XLOOKUP(A9, 'Booking Growth'!$A$4:$A$9,'Booking Growth'!$D$4:$D$9)</x:f>
        <x:v>-0.05802047781569966</x:v>
      </x:c>
      <x:c r="D9" s="92" t="str">
        <x:f t="shared" si="0"/>
        <x:v>Monitor</x:v>
      </x:c>
      <x:c r="E9" s="127" t="n">
        <x:f>_xlfn.XLOOKUP(A9,'Load Factor'!$A$4:$A$9,'Load Factor'!$B$4:$B$9)-_xlfn.XLOOKUP(A9,'Load Factor'!$A$4:$A$9,'Load Factor'!$D$4:$D$9)</x:f>
        <x:v>1140</x:v>
      </x:c>
      <x:c r="F9" s="123" t="n">
        <x:f>_xlfn.XLOOKUP(A9,'Price Analysis'!$A$4:$A$9,'Price Analysis'!$D$4:$D$9)</x:f>
        <x:v>0.06089973677913371</x:v>
      </x:c>
      <x:c r="H9" s="154" t="str">
        <x:v>Assumes £500 variable cost per package; illustrative only.</x:v>
      </x:c>
      <x:c r="I9" s="154"/>
      <x:c r="J9" s="154"/>
      <x:c r="K9" s="154"/>
    </x:row>
    <x:row r="11" ht="28" customHeight="1">
      <x:c r="A11" s="145" t="str">
        <x:v>KEY FINDINGS  |  ANALYTICAL INTERPRETATION</x:v>
      </x:c>
      <x:c r="B11" s="145"/>
      <x:c r="C11" s="145"/>
      <x:c r="D11" s="145"/>
      <x:c r="E11" s="145"/>
      <x:c r="F11" s="145"/>
      <x:c r="G11" s="145"/>
      <x:c r="H11" s="145"/>
      <x:c r="I11" s="145"/>
      <x:c r="J11" s="145"/>
      <x:c r="K11" s="145"/>
    </x:row>
    <x:row r="12" ht="31" customHeight="1">
      <x:c r="A12" s="159" t="str">
        <x:v>ROME  |  Bookings down 20.28% week-on-week with 49.2% load factor and prices close to market. Check departure timing and demand drivers.</x:v>
      </x:c>
      <x:c r="B12" s="159"/>
      <x:c r="C12" s="160"/>
      <x:c r="D12" s="160"/>
      <x:c r="E12" s="160"/>
      <x:c r="F12" s="160"/>
      <x:c r="G12" s="160"/>
      <x:c r="H12" s="160"/>
      <x:c r="I12" s="160"/>
      <x:c r="J12" s="160"/>
      <x:c r="K12" s="160"/>
    </x:row>
    <x:row r="13" ht="31" customHeight="1">
      <x:c r="A13" s="167" t="str">
        <x:v>LISBON  |  Bookings down 14.76% and 49.9% of seats sold. Investigate demand pace before testing targeted price changes.</x:v>
      </x:c>
      <x:c r="B13" s="167"/>
      <x:c r="C13" s="167"/>
      <x:c r="D13" s="167"/>
      <x:c r="E13" s="167"/>
      <x:c r="F13" s="167"/>
      <x:c r="G13" s="167"/>
      <x:c r="H13" s="167"/>
      <x:c r="I13" s="167"/>
      <x:c r="J13" s="167"/>
      <x:c r="K13" s="167"/>
    </x:row>
    <x:row r="14" ht="31" customHeight="1">
      <x:c r="A14" s="160" t="str">
        <x:v>MALAGA  |  Lowest load factor (43.4%) but only positive booking growth (+4.95%). A lower load factor alone does not justify discounting.</x:v>
      </x:c>
      <x:c r="B14" s="160"/>
      <x:c r="C14" s="160"/>
      <x:c r="D14" s="160"/>
      <x:c r="E14" s="160"/>
      <x:c r="F14" s="160"/>
      <x:c r="G14" s="160"/>
      <x:c r="H14" s="160"/>
      <x:c r="I14" s="160"/>
      <x:c r="J14" s="160"/>
      <x:c r="K14" s="160"/>
    </x:row>
    <x:row r="15" ht="27" customHeight="1">
      <x:c r="A15" s="145" t="str">
        <x:v>DATA VISUALISATION  |  COMPARATIVE PERFORMANCE</x:v>
      </x:c>
      <x:c r="B15" s="145"/>
      <x:c r="C15" s="145"/>
      <x:c r="D15" s="145"/>
      <x:c r="E15" s="145"/>
      <x:c r="F15" s="145"/>
      <x:c r="G15" s="145"/>
      <x:c r="H15" s="145"/>
      <x:c r="I15" s="145"/>
      <x:c r="J15" s="145"/>
      <x:c r="K15" s="145"/>
    </x:row>
    <x:row r="16" ht="28" customHeight="1">
      <x:c r="A16" s="196" t="str">
        <x:v>SEAT UTILISATION  |  % SOLD</x:v>
      </x:c>
      <x:c r="B16" s="196"/>
      <x:c r="C16" s="196"/>
      <x:c r="D16" s="196"/>
      <x:c r="E16" s="196"/>
      <x:c r="F16" s="196"/>
      <x:c r="H16" s="196" t="str">
        <x:v>BOOKING MOMENTUM  |  % CHANGE</x:v>
      </x:c>
      <x:c r="I16" s="196"/>
      <x:c r="J16" s="196"/>
      <x:c r="K16" s="196"/>
      <x:c r="L16" s="196"/>
      <x:c r="M16" s="196"/>
    </x:row>
    <x:row r="17">
      <x:c r="A17"/>
      <x:c r="B17"/>
    </x:row>
    <x:row r="18">
      <x:c r="A18"/>
      <x:c r="B18"/>
    </x:row>
    <x:row r="34" ht="26" customHeight="1">
      <x:c r="A34" s="170" t="str">
        <x:v>Method: PivotTables, XLOOKUP, calculated KPIs and sensitivity testing. Synthetic data; percentages represent aggregate departure-week observations.</x:v>
      </x:c>
      <x:c r="B34" s="170"/>
      <x:c r="C34" s="170"/>
      <x:c r="D34" s="170"/>
      <x:c r="E34" s="170"/>
      <x:c r="F34" s="170"/>
      <x:c r="G34" s="170"/>
      <x:c r="H34" s="170"/>
      <x:c r="I34" s="170"/>
      <x:c r="J34" s="170"/>
      <x:c r="K34" s="170"/>
    </x:row>
  </x:sheetData>
  <x:mergeCells>
    <x:mergeCell ref="A2:K2"/>
    <x:mergeCell ref="H7:K7"/>
    <x:mergeCell ref="H8:J8"/>
    <x:mergeCell ref="H9:K9"/>
    <x:mergeCell ref="A11:K11"/>
    <x:mergeCell ref="A12:K12"/>
    <x:mergeCell ref="A13:K13"/>
    <x:mergeCell ref="A14:K14"/>
    <x:mergeCell ref="A15:K15"/>
    <x:mergeCell ref="A34:K34"/>
    <x:mergeCell ref="A16:F16"/>
    <x:mergeCell ref="H16:M16"/>
  </x:mergeCells>
  <x:conditionalFormatting sqref="C4:C9">
    <x:cfRule type="cellIs" dxfId="3" priority="3" operator="lessThan">
      <x:formula>0</x:formula>
    </x:cfRule>
    <x:cfRule type="cellIs" dxfId="2" priority="2" operator="greaterThan">
      <x:formula>0</x:formula>
    </x:cfRule>
  </x:conditionalFormatting>
  <x:conditionalFormatting sqref="B4:B9">
    <x:cfRule type="dataBar" priority="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{D1242435-1926-403D-B57C-76D1AE7876C0}</x14:id>
        </x:ext>
      </x:extLst>
    </x:cfRule>
  </x:conditionalFormatting>
  <x:conditionalFormatting sqref="D4:D9">
    <x:cfRule type="expression" dxfId="9" priority="4">
      <x:formula>D4="Review Priority"</x:formula>
    </x:cfRule>
  </x:conditionalFormatting>
  <x:conditionalFormatting sqref="F4:F9">
    <x:cfRule type="cellIs" dxfId="10" priority="5" operator="greaterThan">
      <x:formula>0.02</x:formula>
    </x:cfRule>
    <x:cfRule type="cellIs" dxfId="11" priority="6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ed374f4978b4e1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242435-1926-403D-B57C-76D1AE7876C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25"/>
  <x:cols>
    <x:col min="1" max="1" width="19" hidden="0" customWidth="1"/>
    <x:col min="2" max="2" width="25" hidden="0" customWidth="1"/>
    <x:col min="3" max="3" width="26" hidden="0" customWidth="1"/>
    <x:col min="4" max="4" width="23" hidden="0" customWidth="1"/>
  </x:cols>
  <x:sheetData>
    <x:row r="1" ht="34" customHeight="1">
      <x:c r="A1" s="183" t="str">
        <x:v>COMPETITOR PRICING  |  DESTINATION ANALYSIS</x:v>
      </x:c>
      <x:c r="B1" s="183"/>
      <x:c r="C1" s="183"/>
      <x:c r="D1" s="183"/>
    </x:row>
    <x:row r="2" ht="24" customHeight="1">
      <x:c r="A2" s="170" t="str">
        <x:v>Average listed package prices compared with average comparable-market figures in the synthetic dataset.</x:v>
      </x:c>
      <x:c r="B2" s="170"/>
      <x:c r="C2" s="170"/>
      <x:c r="D2" s="170"/>
    </x:row>
    <x:row r="3" ht="27" customHeight="1">
      <x:c r="A3" s="99" t="s">
        <x:v>10</x:v>
      </x:c>
      <x:c r="B3" s="99" t="s">
        <x:v>62</x:v>
      </x:c>
      <x:c r="C3" s="99" t="s">
        <x:v>63</x:v>
      </x:c>
      <x:c r="D3" s="186" t="s">
        <x:v>64</x:v>
      </x:c>
    </x:row>
    <x:row r="4">
      <x:c r="A4" s="34" t="s">
        <x:v>20</x:v>
      </x:c>
      <x:c r="B4" s="194">
        <x:v>678.33333333333337</x:v>
      </x:c>
      <x:c r="C4" s="194">
        <x:v>675.83333333333337</x:v>
      </x:c>
      <x:c r="D4" s="192" t="n">
        <x:f>(B4-C4)/C4</x:f>
        <x:v>0.003699136868064118</x:v>
      </x:c>
    </x:row>
    <x:row r="5">
      <x:c r="A5" s="34" t="s">
        <x:v>19</x:v>
      </x:c>
      <x:c r="B5" s="194">
        <x:v>553.66666666666663</x:v>
      </x:c>
      <x:c r="C5" s="194">
        <x:v>550.58333333333337</x:v>
      </x:c>
      <x:c r="D5" s="192" t="n">
        <x:f t="shared" ref="D5:D9" si="0">(B5-C5)/C5</x:f>
        <x:v>0.005600121083698969</x:v>
      </x:c>
    </x:row>
    <x:row r="6">
      <x:c r="A6" s="34" t="s">
        <x:v>18</x:v>
      </x:c>
      <x:c r="B6" s="194">
        <x:v>614.83333333333337</x:v>
      </x:c>
      <x:c r="C6" s="194">
        <x:v>616.25</x:v>
      </x:c>
      <x:c r="D6" s="192">
        <x:f t="shared" si="0"/>
        <x:v>-2.2988505747125821E-3</x:v>
      </x:c>
    </x:row>
    <x:row r="7">
      <x:c r="A7" s="34" t="s">
        <x:v>22</x:v>
      </x:c>
      <x:c r="B7" s="194">
        <x:v>609</x:v>
      </x:c>
      <x:c r="C7" s="194">
        <x:v>604.33333333333337</x:v>
      </x:c>
      <x:c r="D7" s="192">
        <x:f t="shared" si="0"/>
        <x:v>7.7220077220076589E-3</x:v>
      </x:c>
    </x:row>
    <x:row r="8">
      <x:c r="A8" s="34" t="s">
        <x:v>21</x:v>
      </x:c>
      <x:c r="B8" s="194">
        <x:v>621</x:v>
      </x:c>
      <x:c r="C8" s="194">
        <x:v>621.33333333333337</x:v>
      </x:c>
      <x:c r="D8" s="192">
        <x:f t="shared" si="0"/>
        <x:v>-5.364806866953399E-4</x:v>
      </x:c>
    </x:row>
    <x:row r="9">
      <x:c r="A9" s="34" t="s">
        <x:v>17</x:v>
      </x:c>
      <x:c r="B9" s="194">
        <x:v>738.91666666666663</x:v>
      </x:c>
      <x:c r="C9" s="194">
        <x:v>696.5</x:v>
      </x:c>
      <x:c r="D9" s="192">
        <x:f t="shared" si="0"/>
        <x:v>6.0899736779133712E-2</x:v>
      </x:c>
    </x:row>
    <x:row r="10">
      <x:c r="A10" s="34" t="s">
        <x:v>52</x:v>
      </x:c>
      <x:c r="B10" s="194">
        <x:v>635.95833333333337</x:v>
      </x:c>
      <x:c r="C10" s="194">
        <x:v>627.47222222222217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.25"/>
  <x:cols>
    <x:col min="1" max="1" width="16" customWidth="1"/>
    <x:col min="2" max="3" width="17" customWidth="1"/>
    <x:col min="4" max="8" width="15" customWidth="1"/>
    <x:col min="9" max="17" width="17" customWidth="1"/>
    <x:col min="18" max="18" width="22" customWidth="1"/>
  </x:cols>
  <x:sheetData>
    <x:row r="1" ht="36.95000076293945" customHeight="1">
      <x:c r="A1" s="23" t="s">
        <x:v>65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</x:row>
    <x:row r="2" ht="26.100000381469727" customHeight="1">
      <x:c r="A2" s="28" t="s">
        <x:v>66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</x:row>
    <x:row r="4" ht="21" customHeight="1">
      <x:c r="A4" s="1" t="s">
        <x:v>26</x:v>
      </x:c>
      <x:c r="B4" s="1" t="s">
        <x:v>10</x:v>
      </x:c>
      <x:c r="C4" s="1" t="s">
        <x:v>27</x:v>
      </x:c>
      <x:c r="D4" s="1" t="s">
        <x:v>28</x:v>
      </x:c>
      <x:c r="E4" s="1" t="s">
        <x:v>4</x:v>
      </x:c>
      <x:c r="F4" s="1" t="s">
        <x:v>3</x:v>
      </x:c>
      <x:c r="G4" s="1" t="s">
        <x:v>29</x:v>
      </x:c>
      <x:c r="H4" s="1" t="s">
        <x:v>30</x:v>
      </x:c>
      <x:c r="I4" s="1" t="s">
        <x:v>31</x:v>
      </x:c>
      <x:c r="J4" s="1" t="s">
        <x:v>32</x:v>
      </x:c>
      <x:c r="K4" s="1" t="s">
        <x:v>33</x:v>
      </x:c>
      <x:c r="L4" s="1" t="s">
        <x:v>12</x:v>
      </x:c>
      <x:c r="M4" s="1" t="s">
        <x:v>34</x:v>
      </x:c>
      <x:c r="N4" s="1" t="s">
        <x:v>35</x:v>
      </x:c>
      <x:c r="O4" s="1" t="s">
        <x:v>36</x:v>
      </x:c>
      <x:c r="P4" s="1" t="s">
        <x:v>37</x:v>
      </x:c>
      <x:c r="Q4" s="1" t="s">
        <x:v>38</x:v>
      </x:c>
      <x:c r="R4" s="1" t="s">
        <x:v>39</x:v>
      </x:c>
    </x:row>
    <x:row r="5" ht="21" customHeight="1">
      <x:c r="A5" s="4">
        <x:v>46312</x:v>
      </x:c>
      <x:c r="B5" t="s">
        <x:v>17</x:v>
      </x:c>
      <x:c r="C5" t="s">
        <x:v>48</x:v>
      </x:c>
      <x:c r="D5">
        <x:v>7</x:v>
      </x:c>
      <x:c r="E5">
        <x:v>286</x:v>
      </x:c>
      <x:c r="F5">
        <x:v>257</x:v>
      </x:c>
      <x:c r="G5">
        <x:v>15</x:v>
      </x:c>
      <x:c r="H5">
        <x:v>12</x:v>
      </x:c>
      <x:c r="I5" s="21">
        <x:v>717</x:v>
      </x:c>
      <x:c r="J5" s="21">
        <x:v>462</x:v>
      </x:c>
      <x:c r="K5" s="21">
        <x:v>706</x:v>
      </x:c>
      <x:c r="L5" s="5" t="n">
        <x:f t="shared" ref="L5:L36" si="0">IFERROR(F5/E5,0)</x:f>
        <x:v>0.8986013986013986</x:v>
      </x:c>
      <x:c r="M5" t="n">
        <x:f t="shared" ref="M5:M36" si="1">E5-F5</x:f>
        <x:v>29</x:v>
      </x:c>
      <x:c r="N5" s="5" t="n">
        <x:f t="shared" ref="N5:N36" si="2">IFERROR(G5/H5-1,0)</x:f>
        <x:v>0.25</x:v>
      </x:c>
      <x:c r="O5" s="21" t="n">
        <x:f t="shared" ref="O5:O36" si="3">F5*I5</x:f>
        <x:v>184269</x:v>
      </x:c>
      <x:c r="P5" s="21" t="n">
        <x:f t="shared" ref="P5:P36" si="4">F5*(I5-J5)</x:f>
        <x:v>65535</x:v>
      </x:c>
      <x:c r="Q5" s="5" t="n">
        <x:f t="shared" ref="Q5:Q36" si="5">IFERROR(I5/K5-1,0)</x:f>
        <x:v>0.015580736543909346</x:v>
      </x:c>
      <x:c r="R5" t="str">
        <x:f t="shared" ref="R5:R36" si="6">IF(AND(L5&gt;=0.74,N5&gt;0.1,D5&gt;=7),"Review increase",IF(AND(L5&lt;0.55,D5&lt;=28),"Review decrease","Hold / monitor"))</x:f>
        <x:v>Review increase</x:v>
      </x:c>
    </x:row>
    <x:row r="6" ht="21" customHeight="1">
      <x:c r="A6" s="4">
        <x:v>46312</x:v>
      </x:c>
      <x:c r="B6" t="s">
        <x:v>18</x:v>
      </x:c>
      <x:c r="C6" t="s">
        <x:v>44</x:v>
      </x:c>
      <x:c r="D6">
        <x:v>7</x:v>
      </x:c>
      <x:c r="E6">
        <x:v>286</x:v>
      </x:c>
      <x:c r="F6">
        <x:v>256</x:v>
      </x:c>
      <x:c r="G6">
        <x:v>15</x:v>
      </x:c>
      <x:c r="H6">
        <x:v>17</x:v>
      </x:c>
      <x:c r="I6" s="21">
        <x:v>583</x:v>
      </x:c>
      <x:c r="J6" s="21">
        <x:v>381</x:v>
      </x:c>
      <x:c r="K6" s="21">
        <x:v>594</x:v>
      </x:c>
      <x:c r="L6" s="5">
        <x:f t="shared" si="0"/>
        <x:v>0.8951048951048951</x:v>
      </x:c>
      <x:c r="M6">
        <x:f t="shared" si="1"/>
        <x:v>30</x:v>
      </x:c>
      <x:c r="N6" s="5">
        <x:f t="shared" si="2"/>
        <x:v>-0.11764705882352944</x:v>
      </x:c>
      <x:c r="O6" s="21">
        <x:f t="shared" si="3"/>
        <x:v>149248</x:v>
      </x:c>
      <x:c r="P6" s="21">
        <x:f t="shared" si="4"/>
        <x:v>51712</x:v>
      </x:c>
      <x:c r="Q6" s="5">
        <x:f t="shared" si="5"/>
        <x:v>-1.851851851851849E-2</x:v>
      </x:c>
      <x:c r="R6" t="str">
        <x:f t="shared" si="6"/>
        <x:v>Hold / monitor</x:v>
      </x:c>
    </x:row>
    <x:row r="7" ht="21" customHeight="1">
      <x:c r="A7" s="4">
        <x:v>46312</x:v>
      </x:c>
      <x:c r="B7" t="s">
        <x:v>19</x:v>
      </x:c>
      <x:c r="C7" t="s">
        <x:v>43</x:v>
      </x:c>
      <x:c r="D7">
        <x:v>7</x:v>
      </x:c>
      <x:c r="E7">
        <x:v>186</x:v>
      </x:c>
      <x:c r="F7">
        <x:v>140</x:v>
      </x:c>
      <x:c r="G7">
        <x:v>20</x:v>
      </x:c>
      <x:c r="H7">
        <x:v>20</x:v>
      </x:c>
      <x:c r="I7" s="21">
        <x:v>488</x:v>
      </x:c>
      <x:c r="J7" s="21">
        <x:v>333</x:v>
      </x:c>
      <x:c r="K7" s="21">
        <x:v>494</x:v>
      </x:c>
      <x:c r="L7" s="5">
        <x:f t="shared" si="0"/>
        <x:v>0.75268817204301075</x:v>
      </x:c>
      <x:c r="M7">
        <x:f t="shared" si="1"/>
        <x:v>46</x:v>
      </x:c>
      <x:c r="N7" s="5">
        <x:f t="shared" si="2"/>
        <x:v>0</x:v>
      </x:c>
      <x:c r="O7" s="21">
        <x:f t="shared" si="3"/>
        <x:v>68320</x:v>
      </x:c>
      <x:c r="P7" s="21">
        <x:f t="shared" si="4"/>
        <x:v>21700</x:v>
      </x:c>
      <x:c r="Q7" s="5">
        <x:f t="shared" si="5"/>
        <x:v>-1.2145748987854255E-2</x:v>
      </x:c>
      <x:c r="R7" t="str">
        <x:f t="shared" si="6"/>
        <x:v>Hold / monitor</x:v>
      </x:c>
    </x:row>
    <x:row r="8" ht="21" customHeight="1">
      <x:c r="A8" s="4">
        <x:v>46312</x:v>
      </x:c>
      <x:c r="B8" t="s">
        <x:v>20</x:v>
      </x:c>
      <x:c r="C8" t="s">
        <x:v>40</x:v>
      </x:c>
      <x:c r="D8">
        <x:v>7</x:v>
      </x:c>
      <x:c r="E8">
        <x:v>214</x:v>
      </x:c>
      <x:c r="F8">
        <x:v>175</x:v>
      </x:c>
      <x:c r="G8">
        <x:v>12</x:v>
      </x:c>
      <x:c r="H8">
        <x:v>14</x:v>
      </x:c>
      <x:c r="I8" s="21">
        <x:v>737</x:v>
      </x:c>
      <x:c r="J8" s="21">
        <x:v>461</x:v>
      </x:c>
      <x:c r="K8" s="21">
        <x:v>788</x:v>
      </x:c>
      <x:c r="L8" s="5">
        <x:f t="shared" si="0"/>
        <x:v>0.81775700934579443</x:v>
      </x:c>
      <x:c r="M8">
        <x:f t="shared" si="1"/>
        <x:v>39</x:v>
      </x:c>
      <x:c r="N8" s="5">
        <x:f t="shared" si="2"/>
        <x:v>-0.1428571428571429</x:v>
      </x:c>
      <x:c r="O8" s="21">
        <x:f t="shared" si="3"/>
        <x:v>128975</x:v>
      </x:c>
      <x:c r="P8" s="21">
        <x:f t="shared" si="4"/>
        <x:v>48300</x:v>
      </x:c>
      <x:c r="Q8" s="5">
        <x:f t="shared" si="5"/>
        <x:v>-6.4720812182741172E-2</x:v>
      </x:c>
      <x:c r="R8" t="str">
        <x:f t="shared" si="6"/>
        <x:v>Hold / monitor</x:v>
      </x:c>
    </x:row>
    <x:row r="9" ht="21" customHeight="1">
      <x:c r="A9" s="4">
        <x:v>46312</x:v>
      </x:c>
      <x:c r="B9" t="s">
        <x:v>21</x:v>
      </x:c>
      <x:c r="C9" t="s">
        <x:v>47</x:v>
      </x:c>
      <x:c r="D9">
        <x:v>7</x:v>
      </x:c>
      <x:c r="E9">
        <x:v>286</x:v>
      </x:c>
      <x:c r="F9">
        <x:v>171</x:v>
      </x:c>
      <x:c r="G9">
        <x:v>31</x:v>
      </x:c>
      <x:c r="H9">
        <x:v>40</x:v>
      </x:c>
      <x:c r="I9" s="21">
        <x:v>556</x:v>
      </x:c>
      <x:c r="J9" s="21">
        <x:v>408</x:v>
      </x:c>
      <x:c r="K9" s="21">
        <x:v>613</x:v>
      </x:c>
      <x:c r="L9" s="5">
        <x:f t="shared" si="0"/>
        <x:v>0.59790209790209792</x:v>
      </x:c>
      <x:c r="M9">
        <x:f t="shared" si="1"/>
        <x:v>115</x:v>
      </x:c>
      <x:c r="N9" s="5">
        <x:f t="shared" si="2"/>
        <x:v>-0.22499999999999998</x:v>
      </x:c>
      <x:c r="O9" s="21">
        <x:f t="shared" si="3"/>
        <x:v>95076</x:v>
      </x:c>
      <x:c r="P9" s="21">
        <x:f t="shared" si="4"/>
        <x:v>25308</x:v>
      </x:c>
      <x:c r="Q9" s="5">
        <x:f t="shared" si="5"/>
        <x:v>-9.2985318107667192E-2</x:v>
      </x:c>
      <x:c r="R9" t="str">
        <x:f t="shared" si="6"/>
        <x:v>Hold / monitor</x:v>
      </x:c>
    </x:row>
    <x:row r="10" ht="21" customHeight="1">
      <x:c r="A10" s="4">
        <x:v>46312</x:v>
      </x:c>
      <x:c r="B10" t="s">
        <x:v>22</x:v>
      </x:c>
      <x:c r="C10" t="s">
        <x:v>46</x:v>
      </x:c>
      <x:c r="D10">
        <x:v>7</x:v>
      </x:c>
      <x:c r="E10">
        <x:v>168</x:v>
      </x:c>
      <x:c r="F10">
        <x:v>109</x:v>
      </x:c>
      <x:c r="G10">
        <x:v>18</x:v>
      </x:c>
      <x:c r="H10">
        <x:v>21</x:v>
      </x:c>
      <x:c r="I10" s="21">
        <x:v>530</x:v>
      </x:c>
      <x:c r="J10" s="21">
        <x:v>392</x:v>
      </x:c>
      <x:c r="K10" s="21">
        <x:v>495</x:v>
      </x:c>
      <x:c r="L10" s="5">
        <x:f t="shared" si="0"/>
        <x:v>0.64880952380952384</x:v>
      </x:c>
      <x:c r="M10">
        <x:f t="shared" si="1"/>
        <x:v>59</x:v>
      </x:c>
      <x:c r="N10" s="5">
        <x:f t="shared" si="2"/>
        <x:v>-0.1428571428571429</x:v>
      </x:c>
      <x:c r="O10" s="21">
        <x:f t="shared" si="3"/>
        <x:v>57770</x:v>
      </x:c>
      <x:c r="P10" s="21">
        <x:f t="shared" si="4"/>
        <x:v>15042</x:v>
      </x:c>
      <x:c r="Q10" s="5">
        <x:f t="shared" si="5"/>
        <x:v>7.0707070707070718E-2</x:v>
      </x:c>
      <x:c r="R10" t="str">
        <x:f t="shared" si="6"/>
        <x:v>Hold / monitor</x:v>
      </x:c>
    </x:row>
    <x:row r="11" ht="21" customHeight="1">
      <x:c r="A11" s="4">
        <x:v>46319</x:v>
      </x:c>
      <x:c r="B11" t="s">
        <x:v>17</x:v>
      </x:c>
      <x:c r="C11" t="s">
        <x:v>48</x:v>
      </x:c>
      <x:c r="D11">
        <x:v>14</x:v>
      </x:c>
      <x:c r="E11">
        <x:v>168</x:v>
      </x:c>
      <x:c r="F11">
        <x:v>120</x:v>
      </x:c>
      <x:c r="G11">
        <x:v>11</x:v>
      </x:c>
      <x:c r="H11">
        <x:v>10</x:v>
      </x:c>
      <x:c r="I11" s="21">
        <x:v>734</x:v>
      </x:c>
      <x:c r="J11" s="21">
        <x:v>464</x:v>
      </x:c>
      <x:c r="K11" s="21">
        <x:v>671</x:v>
      </x:c>
      <x:c r="L11" s="5">
        <x:f t="shared" si="0"/>
        <x:v>0.7142857142857143</x:v>
      </x:c>
      <x:c r="M11">
        <x:f t="shared" si="1"/>
        <x:v>48</x:v>
      </x:c>
      <x:c r="N11" s="5">
        <x:f t="shared" si="2"/>
        <x:v>0.10000000000000009</x:v>
      </x:c>
      <x:c r="O11" s="21">
        <x:f t="shared" si="3"/>
        <x:v>88080</x:v>
      </x:c>
      <x:c r="P11" s="21">
        <x:f t="shared" si="4"/>
        <x:v>32400</x:v>
      </x:c>
      <x:c r="Q11" s="5">
        <x:f t="shared" si="5"/>
        <x:v>9.3889716840536597E-2</x:v>
      </x:c>
      <x:c r="R11" t="str">
        <x:f t="shared" si="6"/>
        <x:v>Hold / monitor</x:v>
      </x:c>
    </x:row>
    <x:row r="12" ht="21" customHeight="1">
      <x:c r="A12" s="4">
        <x:v>46319</x:v>
      </x:c>
      <x:c r="B12" t="s">
        <x:v>18</x:v>
      </x:c>
      <x:c r="C12" t="s">
        <x:v>44</x:v>
      </x:c>
      <x:c r="D12">
        <x:v>14</x:v>
      </x:c>
      <x:c r="E12">
        <x:v>286</x:v>
      </x:c>
      <x:c r="F12">
        <x:v>161</x:v>
      </x:c>
      <x:c r="G12">
        <x:v>28</x:v>
      </x:c>
      <x:c r="H12">
        <x:v>21</x:v>
      </x:c>
      <x:c r="I12" s="21">
        <x:v>535</x:v>
      </x:c>
      <x:c r="J12" s="21">
        <x:v>367</x:v>
      </x:c>
      <x:c r="K12" s="21">
        <x:v>565</x:v>
      </x:c>
      <x:c r="L12" s="5">
        <x:f t="shared" si="0"/>
        <x:v>0.56293706293706292</x:v>
      </x:c>
      <x:c r="M12">
        <x:f t="shared" si="1"/>
        <x:v>125</x:v>
      </x:c>
      <x:c r="N12" s="5">
        <x:f t="shared" si="2"/>
        <x:v>0.33333333333333326</x:v>
      </x:c>
      <x:c r="O12" s="21">
        <x:f t="shared" si="3"/>
        <x:v>86135</x:v>
      </x:c>
      <x:c r="P12" s="21">
        <x:f t="shared" si="4"/>
        <x:v>27048</x:v>
      </x:c>
      <x:c r="Q12" s="5">
        <x:f t="shared" si="5"/>
        <x:v>-5.3097345132743334E-2</x:v>
      </x:c>
      <x:c r="R12" t="str">
        <x:f t="shared" si="6"/>
        <x:v>Hold / monitor</x:v>
      </x:c>
    </x:row>
    <x:row r="13" ht="21" customHeight="1">
      <x:c r="A13" s="4">
        <x:v>46319</x:v>
      </x:c>
      <x:c r="B13" t="s">
        <x:v>19</x:v>
      </x:c>
      <x:c r="C13" t="s">
        <x:v>43</x:v>
      </x:c>
      <x:c r="D13">
        <x:v>14</x:v>
      </x:c>
      <x:c r="E13">
        <x:v>304</x:v>
      </x:c>
      <x:c r="F13">
        <x:v>219</x:v>
      </x:c>
      <x:c r="G13">
        <x:v>13</x:v>
      </x:c>
      <x:c r="H13">
        <x:v>10</x:v>
      </x:c>
      <x:c r="I13" s="21">
        <x:v>564</x:v>
      </x:c>
      <x:c r="J13" s="21">
        <x:v>319</x:v>
      </x:c>
      <x:c r="K13" s="21">
        <x:v>614</x:v>
      </x:c>
      <x:c r="L13" s="5">
        <x:f t="shared" si="0"/>
        <x:v>0.72039473684210531</x:v>
      </x:c>
      <x:c r="M13">
        <x:f t="shared" si="1"/>
        <x:v>85</x:v>
      </x:c>
      <x:c r="N13" s="5">
        <x:f t="shared" si="2"/>
        <x:v>0.30000000000000004</x:v>
      </x:c>
      <x:c r="O13" s="21">
        <x:f t="shared" si="3"/>
        <x:v>123516</x:v>
      </x:c>
      <x:c r="P13" s="21">
        <x:f t="shared" si="4"/>
        <x:v>53655</x:v>
      </x:c>
      <x:c r="Q13" s="5">
        <x:f t="shared" si="5"/>
        <x:v>-8.1433224755700362E-2</x:v>
      </x:c>
      <x:c r="R13" t="str">
        <x:f t="shared" si="6"/>
        <x:v>Hold / monitor</x:v>
      </x:c>
    </x:row>
    <x:row r="14" ht="21" customHeight="1">
      <x:c r="A14" s="4">
        <x:v>46319</x:v>
      </x:c>
      <x:c r="B14" t="s">
        <x:v>20</x:v>
      </x:c>
      <x:c r="C14" t="s">
        <x:v>40</x:v>
      </x:c>
      <x:c r="D14">
        <x:v>14</x:v>
      </x:c>
      <x:c r="E14">
        <x:v>304</x:v>
      </x:c>
      <x:c r="F14">
        <x:v>243</x:v>
      </x:c>
      <x:c r="G14">
        <x:v>15</x:v>
      </x:c>
      <x:c r="H14">
        <x:v>12</x:v>
      </x:c>
      <x:c r="I14" s="21">
        <x:v>738</x:v>
      </x:c>
      <x:c r="J14" s="21">
        <x:v>455</x:v>
      </x:c>
      <x:c r="K14" s="21">
        <x:v>806</x:v>
      </x:c>
      <x:c r="L14" s="5">
        <x:f t="shared" si="0"/>
        <x:v>0.79934210526315785</x:v>
      </x:c>
      <x:c r="M14">
        <x:f t="shared" si="1"/>
        <x:v>61</x:v>
      </x:c>
      <x:c r="N14" s="5">
        <x:f t="shared" si="2"/>
        <x:v>0.25</x:v>
      </x:c>
      <x:c r="O14" s="21">
        <x:f t="shared" si="3"/>
        <x:v>179334</x:v>
      </x:c>
      <x:c r="P14" s="21">
        <x:f t="shared" si="4"/>
        <x:v>68769</x:v>
      </x:c>
      <x:c r="Q14" s="5">
        <x:f t="shared" si="5"/>
        <x:v>-8.4367245657568257E-2</x:v>
      </x:c>
      <x:c r="R14" t="str">
        <x:f t="shared" si="6"/>
        <x:v>Review increase</x:v>
      </x:c>
    </x:row>
    <x:row r="15" ht="21" customHeight="1">
      <x:c r="A15" s="4">
        <x:v>46319</x:v>
      </x:c>
      <x:c r="B15" t="s">
        <x:v>21</x:v>
      </x:c>
      <x:c r="C15" t="s">
        <x:v>47</x:v>
      </x:c>
      <x:c r="D15">
        <x:v>14</x:v>
      </x:c>
      <x:c r="E15">
        <x:v>214</x:v>
      </x:c>
      <x:c r="F15">
        <x:v>119</x:v>
      </x:c>
      <x:c r="G15">
        <x:v>22</x:v>
      </x:c>
      <x:c r="H15">
        <x:v>25</x:v>
      </x:c>
      <x:c r="I15" s="21">
        <x:v>582</x:v>
      </x:c>
      <x:c r="J15" s="21">
        <x:v>403</x:v>
      </x:c>
      <x:c r="K15" s="21">
        <x:v>599</x:v>
      </x:c>
      <x:c r="L15" s="5">
        <x:f t="shared" si="0"/>
        <x:v>0.55607476635514019</x:v>
      </x:c>
      <x:c r="M15">
        <x:f t="shared" si="1"/>
        <x:v>95</x:v>
      </x:c>
      <x:c r="N15" s="5">
        <x:f t="shared" si="2"/>
        <x:v>-0.12</x:v>
      </x:c>
      <x:c r="O15" s="21">
        <x:f t="shared" si="3"/>
        <x:v>69258</x:v>
      </x:c>
      <x:c r="P15" s="21">
        <x:f t="shared" si="4"/>
        <x:v>21301</x:v>
      </x:c>
      <x:c r="Q15" s="5">
        <x:f t="shared" si="5"/>
        <x:v>-2.8380634390651083E-2</x:v>
      </x:c>
      <x:c r="R15" t="str">
        <x:f t="shared" si="6"/>
        <x:v>Hold / monitor</x:v>
      </x:c>
    </x:row>
    <x:row r="16" ht="21" customHeight="1">
      <x:c r="A16" s="4">
        <x:v>46319</x:v>
      </x:c>
      <x:c r="B16" t="s">
        <x:v>22</x:v>
      </x:c>
      <x:c r="C16" t="s">
        <x:v>46</x:v>
      </x:c>
      <x:c r="D16">
        <x:v>14</x:v>
      </x:c>
      <x:c r="E16">
        <x:v>252</x:v>
      </x:c>
      <x:c r="F16">
        <x:v>194</x:v>
      </x:c>
      <x:c r="G16">
        <x:v>12</x:v>
      </x:c>
      <x:c r="H16">
        <x:v>16</x:v>
      </x:c>
      <x:c r="I16" s="21">
        <x:v>558</x:v>
      </x:c>
      <x:c r="J16" s="21">
        <x:v>359</x:v>
      </x:c>
      <x:c r="K16" s="21">
        <x:v>599</x:v>
      </x:c>
      <x:c r="L16" s="5">
        <x:f t="shared" si="0"/>
        <x:v>0.76984126984126988</x:v>
      </x:c>
      <x:c r="M16">
        <x:f t="shared" si="1"/>
        <x:v>58</x:v>
      </x:c>
      <x:c r="N16" s="5">
        <x:f t="shared" si="2"/>
        <x:v>-0.25</x:v>
      </x:c>
      <x:c r="O16" s="21">
        <x:f t="shared" si="3"/>
        <x:v>108252</x:v>
      </x:c>
      <x:c r="P16" s="21">
        <x:f t="shared" si="4"/>
        <x:v>38606</x:v>
      </x:c>
      <x:c r="Q16" s="5">
        <x:f t="shared" si="5"/>
        <x:v>-6.8447412353923154E-2</x:v>
      </x:c>
      <x:c r="R16" t="str">
        <x:f t="shared" si="6"/>
        <x:v>Hold / monitor</x:v>
      </x:c>
    </x:row>
    <x:row r="17" ht="21" customHeight="1">
      <x:c r="A17" s="4">
        <x:v>46326</x:v>
      </x:c>
      <x:c r="B17" t="s">
        <x:v>17</x:v>
      </x:c>
      <x:c r="C17" t="s">
        <x:v>48</x:v>
      </x:c>
      <x:c r="D17">
        <x:v>21</x:v>
      </x:c>
      <x:c r="E17">
        <x:v>214</x:v>
      </x:c>
      <x:c r="F17">
        <x:v>173</x:v>
      </x:c>
      <x:c r="G17">
        <x:v>14</x:v>
      </x:c>
      <x:c r="H17">
        <x:v>17</x:v>
      </x:c>
      <x:c r="I17" s="21">
        <x:v>677</x:v>
      </x:c>
      <x:c r="J17" s="21">
        <x:v>467</x:v>
      </x:c>
      <x:c r="K17" s="21">
        <x:v>631</x:v>
      </x:c>
      <x:c r="L17" s="5">
        <x:f t="shared" si="0"/>
        <x:v>0.80841121495327106</x:v>
      </x:c>
      <x:c r="M17">
        <x:f t="shared" si="1"/>
        <x:v>41</x:v>
      </x:c>
      <x:c r="N17" s="5">
        <x:f t="shared" si="2"/>
        <x:v>-0.17647058823529416</x:v>
      </x:c>
      <x:c r="O17" s="21">
        <x:f t="shared" si="3"/>
        <x:v>117121</x:v>
      </x:c>
      <x:c r="P17" s="21">
        <x:f t="shared" si="4"/>
        <x:v>36330</x:v>
      </x:c>
      <x:c r="Q17" s="5">
        <x:f t="shared" si="5"/>
        <x:v>7.2900158478605315E-2</x:v>
      </x:c>
      <x:c r="R17" t="str">
        <x:f t="shared" si="6"/>
        <x:v>Hold / monitor</x:v>
      </x:c>
    </x:row>
    <x:row r="18" ht="21" customHeight="1">
      <x:c r="A18" s="4">
        <x:v>46326</x:v>
      </x:c>
      <x:c r="B18" t="s">
        <x:v>18</x:v>
      </x:c>
      <x:c r="C18" t="s">
        <x:v>44</x:v>
      </x:c>
      <x:c r="D18">
        <x:v>21</x:v>
      </x:c>
      <x:c r="E18">
        <x:v>186</x:v>
      </x:c>
      <x:c r="F18">
        <x:v>119</x:v>
      </x:c>
      <x:c r="G18">
        <x:v>23</x:v>
      </x:c>
      <x:c r="H18">
        <x:v>20</x:v>
      </x:c>
      <x:c r="I18" s="21">
        <x:v>618</x:v>
      </x:c>
      <x:c r="J18" s="21">
        <x:v>345</x:v>
      </x:c>
      <x:c r="K18" s="21">
        <x:v>638</x:v>
      </x:c>
      <x:c r="L18" s="5">
        <x:f t="shared" si="0"/>
        <x:v>0.63978494623655913</x:v>
      </x:c>
      <x:c r="M18">
        <x:f t="shared" si="1"/>
        <x:v>67</x:v>
      </x:c>
      <x:c r="N18" s="5">
        <x:f t="shared" si="2"/>
        <x:v>0.14999999999999991</x:v>
      </x:c>
      <x:c r="O18" s="21">
        <x:f t="shared" si="3"/>
        <x:v>73542</x:v>
      </x:c>
      <x:c r="P18" s="21">
        <x:f t="shared" si="4"/>
        <x:v>32487</x:v>
      </x:c>
      <x:c r="Q18" s="5">
        <x:f t="shared" si="5"/>
        <x:v>-3.1347962382445194E-2</x:v>
      </x:c>
      <x:c r="R18" t="str">
        <x:f t="shared" si="6"/>
        <x:v>Hold / monitor</x:v>
      </x:c>
    </x:row>
    <x:row r="19" ht="21" customHeight="1">
      <x:c r="A19" s="4">
        <x:v>46326</x:v>
      </x:c>
      <x:c r="B19" t="s">
        <x:v>19</x:v>
      </x:c>
      <x:c r="C19" t="s">
        <x:v>43</x:v>
      </x:c>
      <x:c r="D19">
        <x:v>21</x:v>
      </x:c>
      <x:c r="E19">
        <x:v>252</x:v>
      </x:c>
      <x:c r="F19">
        <x:v>211</x:v>
      </x:c>
      <x:c r="G19">
        <x:v>14</x:v>
      </x:c>
      <x:c r="H19">
        <x:v>11</x:v>
      </x:c>
      <x:c r="I19" s="21">
        <x:v>559</x:v>
      </x:c>
      <x:c r="J19" s="21">
        <x:v>334</x:v>
      </x:c>
      <x:c r="K19" s="21">
        <x:v>504</x:v>
      </x:c>
      <x:c r="L19" s="5">
        <x:f t="shared" si="0"/>
        <x:v>0.83730158730158732</x:v>
      </x:c>
      <x:c r="M19">
        <x:f t="shared" si="1"/>
        <x:v>41</x:v>
      </x:c>
      <x:c r="N19" s="5">
        <x:f t="shared" si="2"/>
        <x:v>0.27272727272727271</x:v>
      </x:c>
      <x:c r="O19" s="21">
        <x:f t="shared" si="3"/>
        <x:v>117949</x:v>
      </x:c>
      <x:c r="P19" s="21">
        <x:f t="shared" si="4"/>
        <x:v>47475</x:v>
      </x:c>
      <x:c r="Q19" s="5">
        <x:f t="shared" si="5"/>
        <x:v>0.10912698412698418</x:v>
      </x:c>
      <x:c r="R19" t="str">
        <x:f t="shared" si="6"/>
        <x:v>Review increase</x:v>
      </x:c>
    </x:row>
    <x:row r="20" ht="21" customHeight="1">
      <x:c r="A20" s="4">
        <x:v>46326</x:v>
      </x:c>
      <x:c r="B20" t="s">
        <x:v>20</x:v>
      </x:c>
      <x:c r="C20" t="s">
        <x:v>40</x:v>
      </x:c>
      <x:c r="D20">
        <x:v>21</x:v>
      </x:c>
      <x:c r="E20">
        <x:v>186</x:v>
      </x:c>
      <x:c r="F20">
        <x:v>145</x:v>
      </x:c>
      <x:c r="G20">
        <x:v>20</x:v>
      </x:c>
      <x:c r="H20">
        <x:v>21</x:v>
      </x:c>
      <x:c r="I20" s="21">
        <x:v>734</x:v>
      </x:c>
      <x:c r="J20" s="21">
        <x:v>442</x:v>
      </x:c>
      <x:c r="K20" s="21">
        <x:v>744</x:v>
      </x:c>
      <x:c r="L20" s="5">
        <x:f t="shared" si="0"/>
        <x:v>0.77956989247311825</x:v>
      </x:c>
      <x:c r="M20">
        <x:f t="shared" si="1"/>
        <x:v>41</x:v>
      </x:c>
      <x:c r="N20" s="5">
        <x:f t="shared" si="2"/>
        <x:v>-4.7619047619047672E-2</x:v>
      </x:c>
      <x:c r="O20" s="21">
        <x:f t="shared" si="3"/>
        <x:v>106430</x:v>
      </x:c>
      <x:c r="P20" s="21">
        <x:f t="shared" si="4"/>
        <x:v>42340</x:v>
      </x:c>
      <x:c r="Q20" s="5">
        <x:f t="shared" si="5"/>
        <x:v>-1.3440860215053752E-2</x:v>
      </x:c>
      <x:c r="R20" t="str">
        <x:f t="shared" si="6"/>
        <x:v>Hold / monitor</x:v>
      </x:c>
    </x:row>
    <x:row r="21" ht="21" customHeight="1">
      <x:c r="A21" s="4">
        <x:v>46326</x:v>
      </x:c>
      <x:c r="B21" t="s">
        <x:v>21</x:v>
      </x:c>
      <x:c r="C21" t="s">
        <x:v>47</x:v>
      </x:c>
      <x:c r="D21">
        <x:v>21</x:v>
      </x:c>
      <x:c r="E21">
        <x:v>286</x:v>
      </x:c>
      <x:c r="F21">
        <x:v>186</x:v>
      </x:c>
      <x:c r="G21">
        <x:v>30</x:v>
      </x:c>
      <x:c r="H21">
        <x:v>44</x:v>
      </x:c>
      <x:c r="I21" s="21">
        <x:v>669</x:v>
      </x:c>
      <x:c r="J21" s="21">
        <x:v>392</x:v>
      </x:c>
      <x:c r="K21" s="21">
        <x:v>591</x:v>
      </x:c>
      <x:c r="L21" s="5">
        <x:f t="shared" si="0"/>
        <x:v>0.65034965034965031</x:v>
      </x:c>
      <x:c r="M21">
        <x:f t="shared" si="1"/>
        <x:v>100</x:v>
      </x:c>
      <x:c r="N21" s="5">
        <x:f t="shared" si="2"/>
        <x:v>-0.31818181818181823</x:v>
      </x:c>
      <x:c r="O21" s="21">
        <x:f t="shared" si="3"/>
        <x:v>124434</x:v>
      </x:c>
      <x:c r="P21" s="21">
        <x:f t="shared" si="4"/>
        <x:v>51522</x:v>
      </x:c>
      <x:c r="Q21" s="5">
        <x:f t="shared" si="5"/>
        <x:v>0.13197969543147203</x:v>
      </x:c>
      <x:c r="R21" t="str">
        <x:f t="shared" si="6"/>
        <x:v>Hold / monitor</x:v>
      </x:c>
    </x:row>
    <x:row r="22" ht="21" customHeight="1">
      <x:c r="A22" s="4">
        <x:v>46326</x:v>
      </x:c>
      <x:c r="B22" t="s">
        <x:v>22</x:v>
      </x:c>
      <x:c r="C22" t="s">
        <x:v>46</x:v>
      </x:c>
      <x:c r="D22">
        <x:v>21</x:v>
      </x:c>
      <x:c r="E22">
        <x:v>304</x:v>
      </x:c>
      <x:c r="F22">
        <x:v>235</x:v>
      </x:c>
      <x:c r="G22">
        <x:v>21</x:v>
      </x:c>
      <x:c r="H22">
        <x:v>16</x:v>
      </x:c>
      <x:c r="I22" s="21">
        <x:v>604</x:v>
      </x:c>
      <x:c r="J22" s="21">
        <x:v>391</x:v>
      </x:c>
      <x:c r="K22" s="21">
        <x:v>547</x:v>
      </x:c>
      <x:c r="L22" s="5">
        <x:f t="shared" si="0"/>
        <x:v>0.77302631578947367</x:v>
      </x:c>
      <x:c r="M22">
        <x:f t="shared" si="1"/>
        <x:v>69</x:v>
      </x:c>
      <x:c r="N22" s="5">
        <x:f t="shared" si="2"/>
        <x:v>0.3125</x:v>
      </x:c>
      <x:c r="O22" s="21">
        <x:f t="shared" si="3"/>
        <x:v>141940</x:v>
      </x:c>
      <x:c r="P22" s="21">
        <x:f t="shared" si="4"/>
        <x:v>50055</x:v>
      </x:c>
      <x:c r="Q22" s="5">
        <x:f t="shared" si="5"/>
        <x:v>0.1042047531992687</x:v>
      </x:c>
      <x:c r="R22" t="str">
        <x:f t="shared" si="6"/>
        <x:v>Review increase</x:v>
      </x:c>
    </x:row>
    <x:row r="23" ht="21" customHeight="1">
      <x:c r="A23" s="4">
        <x:v>46333</x:v>
      </x:c>
      <x:c r="B23" t="s">
        <x:v>17</x:v>
      </x:c>
      <x:c r="C23" t="s">
        <x:v>48</x:v>
      </x:c>
      <x:c r="D23">
        <x:v>28</x:v>
      </x:c>
      <x:c r="E23">
        <x:v>168</x:v>
      </x:c>
      <x:c r="F23">
        <x:v>149</x:v>
      </x:c>
      <x:c r="G23">
        <x:v>13</x:v>
      </x:c>
      <x:c r="H23">
        <x:v>13</x:v>
      </x:c>
      <x:c r="I23" s="21">
        <x:v>653</x:v>
      </x:c>
      <x:c r="J23" s="21">
        <x:v>477</x:v>
      </x:c>
      <x:c r="K23" s="21">
        <x:v>638</x:v>
      </x:c>
      <x:c r="L23" s="5">
        <x:f t="shared" si="0"/>
        <x:v>0.88690476190476186</x:v>
      </x:c>
      <x:c r="M23">
        <x:f t="shared" si="1"/>
        <x:v>19</x:v>
      </x:c>
      <x:c r="N23" s="5">
        <x:f t="shared" si="2"/>
        <x:v>0</x:v>
      </x:c>
      <x:c r="O23" s="21">
        <x:f t="shared" si="3"/>
        <x:v>97297</x:v>
      </x:c>
      <x:c r="P23" s="21">
        <x:f t="shared" si="4"/>
        <x:v>26224</x:v>
      </x:c>
      <x:c r="Q23" s="5">
        <x:f t="shared" si="5"/>
        <x:v>2.3510971786833812E-2</x:v>
      </x:c>
      <x:c r="R23" t="str">
        <x:f t="shared" si="6"/>
        <x:v>Hold / monitor</x:v>
      </x:c>
    </x:row>
    <x:row r="24" ht="21" customHeight="1">
      <x:c r="A24" s="4">
        <x:v>46333</x:v>
      </x:c>
      <x:c r="B24" t="s">
        <x:v>18</x:v>
      </x:c>
      <x:c r="C24" t="s">
        <x:v>44</x:v>
      </x:c>
      <x:c r="D24">
        <x:v>28</x:v>
      </x:c>
      <x:c r="E24">
        <x:v>168</x:v>
      </x:c>
      <x:c r="F24">
        <x:v>82</x:v>
      </x:c>
      <x:c r="G24">
        <x:v>25</x:v>
      </x:c>
      <x:c r="H24">
        <x:v>24</x:v>
      </x:c>
      <x:c r="I24" s="21">
        <x:v>642</x:v>
      </x:c>
      <x:c r="J24" s="21">
        <x:v>359</x:v>
      </x:c>
      <x:c r="K24" s="21">
        <x:v>670</x:v>
      </x:c>
      <x:c r="L24" s="5">
        <x:f t="shared" si="0"/>
        <x:v>0.48809523809523808</x:v>
      </x:c>
      <x:c r="M24">
        <x:f t="shared" si="1"/>
        <x:v>86</x:v>
      </x:c>
      <x:c r="N24" s="5">
        <x:f t="shared" si="2"/>
        <x:v>4.1666666666666741E-2</x:v>
      </x:c>
      <x:c r="O24" s="21">
        <x:f t="shared" si="3"/>
        <x:v>52644</x:v>
      </x:c>
      <x:c r="P24" s="21">
        <x:f t="shared" si="4"/>
        <x:v>23206</x:v>
      </x:c>
      <x:c r="Q24" s="5">
        <x:f t="shared" si="5"/>
        <x:v>-4.179104477611939E-2</x:v>
      </x:c>
      <x:c r="R24" t="str">
        <x:f t="shared" si="6"/>
        <x:v>Review decrease</x:v>
      </x:c>
    </x:row>
    <x:row r="25" ht="21" customHeight="1">
      <x:c r="A25" s="4">
        <x:v>46333</x:v>
      </x:c>
      <x:c r="B25" t="s">
        <x:v>19</x:v>
      </x:c>
      <x:c r="C25" t="s">
        <x:v>43</x:v>
      </x:c>
      <x:c r="D25">
        <x:v>28</x:v>
      </x:c>
      <x:c r="E25">
        <x:v>186</x:v>
      </x:c>
      <x:c r="F25">
        <x:v>152</x:v>
      </x:c>
      <x:c r="G25">
        <x:v>9</x:v>
      </x:c>
      <x:c r="H25">
        <x:v>10</x:v>
      </x:c>
      <x:c r="I25" s="21">
        <x:v>569</x:v>
      </x:c>
      <x:c r="J25" s="21">
        <x:v>331</x:v>
      </x:c>
      <x:c r="K25" s="21">
        <x:v>577</x:v>
      </x:c>
      <x:c r="L25" s="5">
        <x:f t="shared" si="0"/>
        <x:v>0.81720430107526887</x:v>
      </x:c>
      <x:c r="M25">
        <x:f t="shared" si="1"/>
        <x:v>34</x:v>
      </x:c>
      <x:c r="N25" s="5">
        <x:f t="shared" si="2"/>
        <x:v>-9.9999999999999978E-2</x:v>
      </x:c>
      <x:c r="O25" s="21">
        <x:f t="shared" si="3"/>
        <x:v>86488</x:v>
      </x:c>
      <x:c r="P25" s="21">
        <x:f t="shared" si="4"/>
        <x:v>36176</x:v>
      </x:c>
      <x:c r="Q25" s="5">
        <x:f t="shared" si="5"/>
        <x:v>-1.3864818024263426E-2</x:v>
      </x:c>
      <x:c r="R25" t="str">
        <x:f t="shared" si="6"/>
        <x:v>Hold / monitor</x:v>
      </x:c>
    </x:row>
    <x:row r="26" ht="21" customHeight="1">
      <x:c r="A26" s="4">
        <x:v>46333</x:v>
      </x:c>
      <x:c r="B26" t="s">
        <x:v>20</x:v>
      </x:c>
      <x:c r="C26" t="s">
        <x:v>40</x:v>
      </x:c>
      <x:c r="D26">
        <x:v>28</x:v>
      </x:c>
      <x:c r="E26">
        <x:v>304</x:v>
      </x:c>
      <x:c r="F26">
        <x:v>171</x:v>
      </x:c>
      <x:c r="G26">
        <x:v>33</x:v>
      </x:c>
      <x:c r="H26">
        <x:v>34</x:v>
      </x:c>
      <x:c r="I26" s="21">
        <x:v>652</x:v>
      </x:c>
      <x:c r="J26" s="21">
        <x:v>459</x:v>
      </x:c>
      <x:c r="K26" s="21">
        <x:v>589</x:v>
      </x:c>
      <x:c r="L26" s="5">
        <x:f t="shared" si="0"/>
        <x:v>0.5625</x:v>
      </x:c>
      <x:c r="M26">
        <x:f t="shared" si="1"/>
        <x:v>133</x:v>
      </x:c>
      <x:c r="N26" s="5">
        <x:f t="shared" si="2"/>
        <x:v>-2.9411764705882359E-2</x:v>
      </x:c>
      <x:c r="O26" s="21">
        <x:f t="shared" si="3"/>
        <x:v>111492</x:v>
      </x:c>
      <x:c r="P26" s="21">
        <x:f t="shared" si="4"/>
        <x:v>33003</x:v>
      </x:c>
      <x:c r="Q26" s="5">
        <x:f t="shared" si="5"/>
        <x:v>0.1069609507640068</x:v>
      </x:c>
      <x:c r="R26" t="str">
        <x:f t="shared" si="6"/>
        <x:v>Hold / monitor</x:v>
      </x:c>
    </x:row>
    <x:row r="27" ht="21" customHeight="1">
      <x:c r="A27" s="4">
        <x:v>46333</x:v>
      </x:c>
      <x:c r="B27" t="s">
        <x:v>21</x:v>
      </x:c>
      <x:c r="C27" t="s">
        <x:v>47</x:v>
      </x:c>
      <x:c r="D27">
        <x:v>28</x:v>
      </x:c>
      <x:c r="E27">
        <x:v>252</x:v>
      </x:c>
      <x:c r="F27">
        <x:v>191</x:v>
      </x:c>
      <x:c r="G27">
        <x:v>18</x:v>
      </x:c>
      <x:c r="H27">
        <x:v>24</x:v>
      </x:c>
      <x:c r="I27" s="21">
        <x:v>662</x:v>
      </x:c>
      <x:c r="J27" s="21">
        <x:v>376</x:v>
      </x:c>
      <x:c r="K27" s="21">
        <x:v>731</x:v>
      </x:c>
      <x:c r="L27" s="5">
        <x:f t="shared" si="0"/>
        <x:v>0.75793650793650791</x:v>
      </x:c>
      <x:c r="M27">
        <x:f t="shared" si="1"/>
        <x:v>61</x:v>
      </x:c>
      <x:c r="N27" s="5">
        <x:f t="shared" si="2"/>
        <x:v>-0.25</x:v>
      </x:c>
      <x:c r="O27" s="21">
        <x:f t="shared" si="3"/>
        <x:v>126442</x:v>
      </x:c>
      <x:c r="P27" s="21">
        <x:f t="shared" si="4"/>
        <x:v>54626</x:v>
      </x:c>
      <x:c r="Q27" s="5">
        <x:f t="shared" si="5"/>
        <x:v>-9.4391244870041024E-2</x:v>
      </x:c>
      <x:c r="R27" t="str">
        <x:f t="shared" si="6"/>
        <x:v>Hold / monitor</x:v>
      </x:c>
    </x:row>
    <x:row r="28" ht="21" customHeight="1">
      <x:c r="A28" s="4">
        <x:v>46333</x:v>
      </x:c>
      <x:c r="B28" t="s">
        <x:v>22</x:v>
      </x:c>
      <x:c r="C28" t="s">
        <x:v>46</x:v>
      </x:c>
      <x:c r="D28">
        <x:v>28</x:v>
      </x:c>
      <x:c r="E28">
        <x:v>228</x:v>
      </x:c>
      <x:c r="F28">
        <x:v>126</x:v>
      </x:c>
      <x:c r="G28">
        <x:v>31</x:v>
      </x:c>
      <x:c r="H28">
        <x:v>42</x:v>
      </x:c>
      <x:c r="I28" s="21">
        <x:v>663</x:v>
      </x:c>
      <x:c r="J28" s="21">
        <x:v>383</x:v>
      </x:c>
      <x:c r="K28" s="21">
        <x:v>704</x:v>
      </x:c>
      <x:c r="L28" s="5">
        <x:f t="shared" si="0"/>
        <x:v>0.55263157894736847</x:v>
      </x:c>
      <x:c r="M28">
        <x:f t="shared" si="1"/>
        <x:v>102</x:v>
      </x:c>
      <x:c r="N28" s="5">
        <x:f t="shared" si="2"/>
        <x:v>-0.26190476190476186</x:v>
      </x:c>
      <x:c r="O28" s="21">
        <x:f t="shared" si="3"/>
        <x:v>83538</x:v>
      </x:c>
      <x:c r="P28" s="21">
        <x:f t="shared" si="4"/>
        <x:v>35280</x:v>
      </x:c>
      <x:c r="Q28" s="5">
        <x:f t="shared" si="5"/>
        <x:v>-5.8238636363636354E-2</x:v>
      </x:c>
      <x:c r="R28" t="str">
        <x:f t="shared" si="6"/>
        <x:v>Hold / monitor</x:v>
      </x:c>
    </x:row>
    <x:row r="29" ht="21" customHeight="1">
      <x:c r="A29" s="4">
        <x:v>46340</x:v>
      </x:c>
      <x:c r="B29" t="s">
        <x:v>17</x:v>
      </x:c>
      <x:c r="C29" t="s">
        <x:v>48</x:v>
      </x:c>
      <x:c r="D29">
        <x:v>35</x:v>
      </x:c>
      <x:c r="E29">
        <x:v>228</x:v>
      </x:c>
      <x:c r="F29">
        <x:v>135</x:v>
      </x:c>
      <x:c r="G29">
        <x:v>26</x:v>
      </x:c>
      <x:c r="H29">
        <x:v>21</x:v>
      </x:c>
      <x:c r="I29" s="21">
        <x:v>815</x:v>
      </x:c>
      <x:c r="J29" s="21">
        <x:v>479</x:v>
      </x:c>
      <x:c r="K29" s="21">
        <x:v>758</x:v>
      </x:c>
      <x:c r="L29" s="5">
        <x:f t="shared" si="0"/>
        <x:v>0.59210526315789469</x:v>
      </x:c>
      <x:c r="M29">
        <x:f t="shared" si="1"/>
        <x:v>93</x:v>
      </x:c>
      <x:c r="N29" s="5">
        <x:f t="shared" si="2"/>
        <x:v>0.23809523809523814</x:v>
      </x:c>
      <x:c r="O29" s="21">
        <x:f t="shared" si="3"/>
        <x:v>110025</x:v>
      </x:c>
      <x:c r="P29" s="21">
        <x:f t="shared" si="4"/>
        <x:v>45360</x:v>
      </x:c>
      <x:c r="Q29" s="5">
        <x:f t="shared" si="5"/>
        <x:v>7.5197889182057942E-2</x:v>
      </x:c>
      <x:c r="R29" t="str">
        <x:f t="shared" si="6"/>
        <x:v>Hold / monitor</x:v>
      </x:c>
    </x:row>
    <x:row r="30" ht="21" customHeight="1">
      <x:c r="A30" s="4">
        <x:v>46340</x:v>
      </x:c>
      <x:c r="B30" t="s">
        <x:v>18</x:v>
      </x:c>
      <x:c r="C30" t="s">
        <x:v>44</x:v>
      </x:c>
      <x:c r="D30">
        <x:v>35</x:v>
      </x:c>
      <x:c r="E30">
        <x:v>228</x:v>
      </x:c>
      <x:c r="F30">
        <x:v>114</x:v>
      </x:c>
      <x:c r="G30">
        <x:v>31</x:v>
      </x:c>
      <x:c r="H30">
        <x:v>40</x:v>
      </x:c>
      <x:c r="I30" s="21">
        <x:v>637</x:v>
      </x:c>
      <x:c r="J30" s="21">
        <x:v>363</x:v>
      </x:c>
      <x:c r="K30" s="21">
        <x:v>654</x:v>
      </x:c>
      <x:c r="L30" s="5">
        <x:f t="shared" si="0"/>
        <x:v>0.5</x:v>
      </x:c>
      <x:c r="M30">
        <x:f t="shared" si="1"/>
        <x:v>114</x:v>
      </x:c>
      <x:c r="N30" s="5">
        <x:f t="shared" si="2"/>
        <x:v>-0.22499999999999998</x:v>
      </x:c>
      <x:c r="O30" s="21">
        <x:f t="shared" si="3"/>
        <x:v>72618</x:v>
      </x:c>
      <x:c r="P30" s="21">
        <x:f t="shared" si="4"/>
        <x:v>31236</x:v>
      </x:c>
      <x:c r="Q30" s="5">
        <x:f t="shared" si="5"/>
        <x:v>-2.5993883792048922E-2</x:v>
      </x:c>
      <x:c r="R30" t="str">
        <x:f t="shared" si="6"/>
        <x:v>Hold / monitor</x:v>
      </x:c>
    </x:row>
    <x:row r="31" ht="21" customHeight="1">
      <x:c r="A31" s="4">
        <x:v>46340</x:v>
      </x:c>
      <x:c r="B31" t="s">
        <x:v>19</x:v>
      </x:c>
      <x:c r="C31" t="s">
        <x:v>43</x:v>
      </x:c>
      <x:c r="D31">
        <x:v>35</x:v>
      </x:c>
      <x:c r="E31">
        <x:v>286</x:v>
      </x:c>
      <x:c r="F31">
        <x:v>146</x:v>
      </x:c>
      <x:c r="G31">
        <x:v>25</x:v>
      </x:c>
      <x:c r="H31">
        <x:v>38</x:v>
      </x:c>
      <x:c r="I31" s="21">
        <x:v>481</x:v>
      </x:c>
      <x:c r="J31" s="21">
        <x:v>320</x:v>
      </x:c>
      <x:c r="K31" s="21">
        <x:v>518</x:v>
      </x:c>
      <x:c r="L31" s="5">
        <x:f t="shared" si="0"/>
        <x:v>0.51048951048951052</x:v>
      </x:c>
      <x:c r="M31">
        <x:f t="shared" si="1"/>
        <x:v>140</x:v>
      </x:c>
      <x:c r="N31" s="5">
        <x:f t="shared" si="2"/>
        <x:v>-0.34210526315789469</x:v>
      </x:c>
      <x:c r="O31" s="21">
        <x:f t="shared" si="3"/>
        <x:v>70226</x:v>
      </x:c>
      <x:c r="P31" s="21">
        <x:f t="shared" si="4"/>
        <x:v>23506</x:v>
      </x:c>
      <x:c r="Q31" s="5">
        <x:f t="shared" si="5"/>
        <x:v>-7.1428571428571397E-2</x:v>
      </x:c>
      <x:c r="R31" t="str">
        <x:f t="shared" si="6"/>
        <x:v>Hold / monitor</x:v>
      </x:c>
    </x:row>
    <x:row r="32" ht="21" customHeight="1">
      <x:c r="A32" s="4">
        <x:v>46340</x:v>
      </x:c>
      <x:c r="B32" t="s">
        <x:v>20</x:v>
      </x:c>
      <x:c r="C32" t="s">
        <x:v>40</x:v>
      </x:c>
      <x:c r="D32">
        <x:v>35</x:v>
      </x:c>
      <x:c r="E32">
        <x:v>286</x:v>
      </x:c>
      <x:c r="F32">
        <x:v>156</x:v>
      </x:c>
      <x:c r="G32">
        <x:v>32</x:v>
      </x:c>
      <x:c r="H32">
        <x:v>28</x:v>
      </x:c>
      <x:c r="I32" s="21">
        <x:v>680</x:v>
      </x:c>
      <x:c r="J32" s="21">
        <x:v>422</x:v>
      </x:c>
      <x:c r="K32" s="21">
        <x:v>646</x:v>
      </x:c>
      <x:c r="L32" s="5">
        <x:f t="shared" si="0"/>
        <x:v>0.54545454545454541</x:v>
      </x:c>
      <x:c r="M32">
        <x:f t="shared" si="1"/>
        <x:v>130</x:v>
      </x:c>
      <x:c r="N32" s="5">
        <x:f t="shared" si="2"/>
        <x:v>0.14285714285714279</x:v>
      </x:c>
      <x:c r="O32" s="21">
        <x:f t="shared" si="3"/>
        <x:v>106080</x:v>
      </x:c>
      <x:c r="P32" s="21">
        <x:f t="shared" si="4"/>
        <x:v>40248</x:v>
      </x:c>
      <x:c r="Q32" s="5">
        <x:f t="shared" si="5"/>
        <x:v>5.2631578947368363E-2</x:v>
      </x:c>
      <x:c r="R32" t="str">
        <x:f t="shared" si="6"/>
        <x:v>Hold / monitor</x:v>
      </x:c>
    </x:row>
    <x:row r="33" ht="21" customHeight="1">
      <x:c r="A33" s="4">
        <x:v>46340</x:v>
      </x:c>
      <x:c r="B33" t="s">
        <x:v>21</x:v>
      </x:c>
      <x:c r="C33" t="s">
        <x:v>47</x:v>
      </x:c>
      <x:c r="D33">
        <x:v>35</x:v>
      </x:c>
      <x:c r="E33">
        <x:v>186</x:v>
      </x:c>
      <x:c r="F33">
        <x:v>111</x:v>
      </x:c>
      <x:c r="G33">
        <x:v>21</x:v>
      </x:c>
      <x:c r="H33">
        <x:v>32</x:v>
      </x:c>
      <x:c r="I33" s="21">
        <x:v>569</x:v>
      </x:c>
      <x:c r="J33" s="21">
        <x:v>411</x:v>
      </x:c>
      <x:c r="K33" s="21">
        <x:v>527</x:v>
      </x:c>
      <x:c r="L33" s="5">
        <x:f t="shared" si="0"/>
        <x:v>0.59677419354838712</x:v>
      </x:c>
      <x:c r="M33">
        <x:f t="shared" si="1"/>
        <x:v>75</x:v>
      </x:c>
      <x:c r="N33" s="5">
        <x:f t="shared" si="2"/>
        <x:v>-0.34375</x:v>
      </x:c>
      <x:c r="O33" s="21">
        <x:f t="shared" si="3"/>
        <x:v>63159</x:v>
      </x:c>
      <x:c r="P33" s="21">
        <x:f t="shared" si="4"/>
        <x:v>17538</x:v>
      </x:c>
      <x:c r="Q33" s="5">
        <x:f t="shared" si="5"/>
        <x:v>7.9696394686906924E-2</x:v>
      </x:c>
      <x:c r="R33" t="str">
        <x:f t="shared" si="6"/>
        <x:v>Hold / monitor</x:v>
      </x:c>
    </x:row>
    <x:row r="34" ht="21" customHeight="1">
      <x:c r="A34" s="4">
        <x:v>46340</x:v>
      </x:c>
      <x:c r="B34" t="s">
        <x:v>22</x:v>
      </x:c>
      <x:c r="C34" t="s">
        <x:v>46</x:v>
      </x:c>
      <x:c r="D34">
        <x:v>35</x:v>
      </x:c>
      <x:c r="E34">
        <x:v>186</x:v>
      </x:c>
      <x:c r="F34">
        <x:v>122</x:v>
      </x:c>
      <x:c r="G34">
        <x:v>28</x:v>
      </x:c>
      <x:c r="H34">
        <x:v>25</x:v>
      </x:c>
      <x:c r="I34" s="21">
        <x:v>613</x:v>
      </x:c>
      <x:c r="J34" s="21">
        <x:v>383</x:v>
      </x:c>
      <x:c r="K34" s="21">
        <x:v>624</x:v>
      </x:c>
      <x:c r="L34" s="5">
        <x:f t="shared" si="0"/>
        <x:v>0.65591397849462363</x:v>
      </x:c>
      <x:c r="M34">
        <x:f t="shared" si="1"/>
        <x:v>64</x:v>
      </x:c>
      <x:c r="N34" s="5">
        <x:f t="shared" si="2"/>
        <x:v>0.12000000000000011</x:v>
      </x:c>
      <x:c r="O34" s="21">
        <x:f t="shared" si="3"/>
        <x:v>74786</x:v>
      </x:c>
      <x:c r="P34" s="21">
        <x:f t="shared" si="4"/>
        <x:v>28060</x:v>
      </x:c>
      <x:c r="Q34" s="5">
        <x:f t="shared" si="5"/>
        <x:v>-1.7628205128205177E-2</x:v>
      </x:c>
      <x:c r="R34" t="str">
        <x:f t="shared" si="6"/>
        <x:v>Hold / monitor</x:v>
      </x:c>
    </x:row>
    <x:row r="35" ht="21" customHeight="1">
      <x:c r="A35" s="4">
        <x:v>46347</x:v>
      </x:c>
      <x:c r="B35" t="s">
        <x:v>17</x:v>
      </x:c>
      <x:c r="C35" t="s">
        <x:v>48</x:v>
      </x:c>
      <x:c r="D35">
        <x:v>42</x:v>
      </x:c>
      <x:c r="E35">
        <x:v>186</x:v>
      </x:c>
      <x:c r="F35">
        <x:v>141</x:v>
      </x:c>
      <x:c r="G35">
        <x:v>16</x:v>
      </x:c>
      <x:c r="H35">
        <x:v>19</x:v>
      </x:c>
      <x:c r="I35" s="21">
        <x:v>811</x:v>
      </x:c>
      <x:c r="J35" s="21">
        <x:v>468</x:v>
      </x:c>
      <x:c r="K35" s="21">
        <x:v>842</x:v>
      </x:c>
      <x:c r="L35" s="5">
        <x:f t="shared" si="0"/>
        <x:v>0.75806451612903225</x:v>
      </x:c>
      <x:c r="M35">
        <x:f t="shared" si="1"/>
        <x:v>45</x:v>
      </x:c>
      <x:c r="N35" s="5">
        <x:f t="shared" si="2"/>
        <x:v>-0.15789473684210531</x:v>
      </x:c>
      <x:c r="O35" s="21">
        <x:f t="shared" si="3"/>
        <x:v>114351</x:v>
      </x:c>
      <x:c r="P35" s="21">
        <x:f t="shared" si="4"/>
        <x:v>48363</x:v>
      </x:c>
      <x:c r="Q35" s="5">
        <x:f t="shared" si="5"/>
        <x:v>-3.6817102137767233E-2</x:v>
      </x:c>
      <x:c r="R35" t="str">
        <x:f t="shared" si="6"/>
        <x:v>Hold / monitor</x:v>
      </x:c>
    </x:row>
    <x:row r="36" ht="21" customHeight="1">
      <x:c r="A36" s="4">
        <x:v>46347</x:v>
      </x:c>
      <x:c r="B36" t="s">
        <x:v>18</x:v>
      </x:c>
      <x:c r="C36" t="s">
        <x:v>44</x:v>
      </x:c>
      <x:c r="D36">
        <x:v>42</x:v>
      </x:c>
      <x:c r="E36">
        <x:v>214</x:v>
      </x:c>
      <x:c r="F36">
        <x:v>114</x:v>
      </x:c>
      <x:c r="G36">
        <x:v>28</x:v>
      </x:c>
      <x:c r="H36">
        <x:v>32</x:v>
      </x:c>
      <x:c r="I36" s="21">
        <x:v>597</x:v>
      </x:c>
      <x:c r="J36" s="21">
        <x:v>361</x:v>
      </x:c>
      <x:c r="K36" s="21">
        <x:v>571</x:v>
      </x:c>
      <x:c r="L36" s="5">
        <x:f t="shared" si="0"/>
        <x:v>0.53271028037383172</x:v>
      </x:c>
      <x:c r="M36">
        <x:f t="shared" si="1"/>
        <x:v>100</x:v>
      </x:c>
      <x:c r="N36" s="5">
        <x:f t="shared" si="2"/>
        <x:v>-0.125</x:v>
      </x:c>
      <x:c r="O36" s="21">
        <x:f t="shared" si="3"/>
        <x:v>68058</x:v>
      </x:c>
      <x:c r="P36" s="21">
        <x:f t="shared" si="4"/>
        <x:v>26904</x:v>
      </x:c>
      <x:c r="Q36" s="5">
        <x:f t="shared" si="5"/>
        <x:v>4.5534150612959623E-2</x:v>
      </x:c>
      <x:c r="R36" t="str">
        <x:f t="shared" si="6"/>
        <x:v>Hold / monitor</x:v>
      </x:c>
    </x:row>
    <x:row r="37" ht="21" customHeight="1">
      <x:c r="A37" s="4">
        <x:v>46347</x:v>
      </x:c>
      <x:c r="B37" t="s">
        <x:v>19</x:v>
      </x:c>
      <x:c r="C37" t="s">
        <x:v>43</x:v>
      </x:c>
      <x:c r="D37">
        <x:v>42</x:v>
      </x:c>
      <x:c r="E37">
        <x:v>286</x:v>
      </x:c>
      <x:c r="F37">
        <x:v>135</x:v>
      </x:c>
      <x:c r="G37">
        <x:v>25</x:v>
      </x:c>
      <x:c r="H37">
        <x:v>39</x:v>
      </x:c>
      <x:c r="I37" s="21">
        <x:v>589</x:v>
      </x:c>
      <x:c r="J37" s="21">
        <x:v>333</x:v>
      </x:c>
      <x:c r="K37" s="21">
        <x:v>656</x:v>
      </x:c>
      <x:c r="L37" s="5" t="n">
        <x:f t="shared" ref="L37:L68" si="7">IFERROR(F37/E37,0)</x:f>
        <x:v>0.47202797202797203</x:v>
      </x:c>
      <x:c r="M37" t="n">
        <x:f t="shared" ref="M37:M68" si="8">E37-F37</x:f>
        <x:v>151</x:v>
      </x:c>
      <x:c r="N37" s="5" t="n">
        <x:f t="shared" ref="N37:N68" si="9">IFERROR(G37/H37-1,0)</x:f>
        <x:v>-0.3589743589743589</x:v>
      </x:c>
      <x:c r="O37" s="21" t="n">
        <x:f t="shared" ref="O37:O68" si="10">F37*I37</x:f>
        <x:v>79515</x:v>
      </x:c>
      <x:c r="P37" s="21" t="n">
        <x:f t="shared" ref="P37:P68" si="11">F37*(I37-J37)</x:f>
        <x:v>34560</x:v>
      </x:c>
      <x:c r="Q37" s="5" t="n">
        <x:f t="shared" ref="Q37:Q68" si="12">IFERROR(I37/K37-1,0)</x:f>
        <x:v>-0.10213414634146345</x:v>
      </x:c>
      <x:c r="R37" t="str">
        <x:f t="shared" ref="R37:R68" si="13">IF(AND(L37&gt;=0.74,N37&gt;0.1,D37&gt;=7),"Review increase",IF(AND(L37&lt;0.55,D37&lt;=28),"Review decrease","Hold / monitor"))</x:f>
        <x:v>Hold / monitor</x:v>
      </x:c>
    </x:row>
    <x:row r="38" ht="21" customHeight="1">
      <x:c r="A38" s="4">
        <x:v>46347</x:v>
      </x:c>
      <x:c r="B38" t="s">
        <x:v>20</x:v>
      </x:c>
      <x:c r="C38" t="s">
        <x:v>40</x:v>
      </x:c>
      <x:c r="D38">
        <x:v>42</x:v>
      </x:c>
      <x:c r="E38">
        <x:v>252</x:v>
      </x:c>
      <x:c r="F38">
        <x:v>134</x:v>
      </x:c>
      <x:c r="G38">
        <x:v>37</x:v>
      </x:c>
      <x:c r="H38">
        <x:v>26</x:v>
      </x:c>
      <x:c r="I38" s="21">
        <x:v>741</x:v>
      </x:c>
      <x:c r="J38" s="21">
        <x:v>459</x:v>
      </x:c>
      <x:c r="K38" s="21">
        <x:v>800</x:v>
      </x:c>
      <x:c r="L38" s="5">
        <x:f t="shared" si="7"/>
        <x:v>0.53174603174603174</x:v>
      </x:c>
      <x:c r="M38">
        <x:f t="shared" si="8"/>
        <x:v>118</x:v>
      </x:c>
      <x:c r="N38" s="5">
        <x:f t="shared" si="9"/>
        <x:v>0.42307692307692313</x:v>
      </x:c>
      <x:c r="O38" s="21">
        <x:f t="shared" si="10"/>
        <x:v>99294</x:v>
      </x:c>
      <x:c r="P38" s="21">
        <x:f t="shared" si="11"/>
        <x:v>37788</x:v>
      </x:c>
      <x:c r="Q38" s="5">
        <x:f t="shared" si="12"/>
        <x:v>-7.3749999999999982E-2</x:v>
      </x:c>
      <x:c r="R38" t="str">
        <x:f t="shared" si="13"/>
        <x:v>Hold / monitor</x:v>
      </x:c>
    </x:row>
    <x:row r="39" ht="21" customHeight="1">
      <x:c r="A39" s="4">
        <x:v>46347</x:v>
      </x:c>
      <x:c r="B39" t="s">
        <x:v>21</x:v>
      </x:c>
      <x:c r="C39" t="s">
        <x:v>47</x:v>
      </x:c>
      <x:c r="D39">
        <x:v>42</x:v>
      </x:c>
      <x:c r="E39">
        <x:v>214</x:v>
      </x:c>
      <x:c r="F39">
        <x:v>151</x:v>
      </x:c>
      <x:c r="G39">
        <x:v>10</x:v>
      </x:c>
      <x:c r="H39">
        <x:v>15</x:v>
      </x:c>
      <x:c r="I39" s="21">
        <x:v>556</x:v>
      </x:c>
      <x:c r="J39" s="21">
        <x:v>410</x:v>
      </x:c>
      <x:c r="K39" s="21">
        <x:v>534</x:v>
      </x:c>
      <x:c r="L39" s="5">
        <x:f t="shared" si="7"/>
        <x:v>0.70560747663551404</x:v>
      </x:c>
      <x:c r="M39">
        <x:f t="shared" si="8"/>
        <x:v>63</x:v>
      </x:c>
      <x:c r="N39" s="5">
        <x:f t="shared" si="9"/>
        <x:v>-0.33333333333333337</x:v>
      </x:c>
      <x:c r="O39" s="21">
        <x:f t="shared" si="10"/>
        <x:v>83956</x:v>
      </x:c>
      <x:c r="P39" s="21">
        <x:f t="shared" si="11"/>
        <x:v>22046</x:v>
      </x:c>
      <x:c r="Q39" s="5">
        <x:f t="shared" si="12"/>
        <x:v>4.1198501872659277E-2</x:v>
      </x:c>
      <x:c r="R39" t="str">
        <x:f t="shared" si="13"/>
        <x:v>Hold / monitor</x:v>
      </x:c>
    </x:row>
    <x:row r="40" ht="21" customHeight="1">
      <x:c r="A40" s="4">
        <x:v>46347</x:v>
      </x:c>
      <x:c r="B40" t="s">
        <x:v>22</x:v>
      </x:c>
      <x:c r="C40" t="s">
        <x:v>46</x:v>
      </x:c>
      <x:c r="D40">
        <x:v>42</x:v>
      </x:c>
      <x:c r="E40">
        <x:v>168</x:v>
      </x:c>
      <x:c r="F40">
        <x:v>82</x:v>
      </x:c>
      <x:c r="G40">
        <x:v>21</x:v>
      </x:c>
      <x:c r="H40">
        <x:v>26</x:v>
      </x:c>
      <x:c r="I40" s="21">
        <x:v>637</x:v>
      </x:c>
      <x:c r="J40" s="21">
        <x:v>380</x:v>
      </x:c>
      <x:c r="K40" s="21">
        <x:v>685</x:v>
      </x:c>
      <x:c r="L40" s="5">
        <x:f t="shared" si="7"/>
        <x:v>0.48809523809523808</x:v>
      </x:c>
      <x:c r="M40">
        <x:f t="shared" si="8"/>
        <x:v>86</x:v>
      </x:c>
      <x:c r="N40" s="5">
        <x:f t="shared" si="9"/>
        <x:v>-0.19230769230769229</x:v>
      </x:c>
      <x:c r="O40" s="21">
        <x:f t="shared" si="10"/>
        <x:v>52234</x:v>
      </x:c>
      <x:c r="P40" s="21">
        <x:f t="shared" si="11"/>
        <x:v>21074</x:v>
      </x:c>
      <x:c r="Q40" s="5">
        <x:f t="shared" si="12"/>
        <x:v>-7.0072992700729975E-2</x:v>
      </x:c>
      <x:c r="R40" t="str">
        <x:f t="shared" si="13"/>
        <x:v>Hold / monitor</x:v>
      </x:c>
    </x:row>
    <x:row r="41" ht="21" customHeight="1">
      <x:c r="A41" s="4">
        <x:v>46354</x:v>
      </x:c>
      <x:c r="B41" t="s">
        <x:v>17</x:v>
      </x:c>
      <x:c r="C41" t="s">
        <x:v>48</x:v>
      </x:c>
      <x:c r="D41">
        <x:v>49</x:v>
      </x:c>
      <x:c r="E41">
        <x:v>186</x:v>
      </x:c>
      <x:c r="F41">
        <x:v>105</x:v>
      </x:c>
      <x:c r="G41">
        <x:v>27</x:v>
      </x:c>
      <x:c r="H41">
        <x:v>41</x:v>
      </x:c>
      <x:c r="I41" s="21">
        <x:v>766</x:v>
      </x:c>
      <x:c r="J41" s="21">
        <x:v>456</x:v>
      </x:c>
      <x:c r="K41" s="21">
        <x:v>681</x:v>
      </x:c>
      <x:c r="L41" s="5">
        <x:f t="shared" si="7"/>
        <x:v>0.56451612903225812</x:v>
      </x:c>
      <x:c r="M41">
        <x:f t="shared" si="8"/>
        <x:v>81</x:v>
      </x:c>
      <x:c r="N41" s="5">
        <x:f t="shared" si="9"/>
        <x:v>-0.34146341463414631</x:v>
      </x:c>
      <x:c r="O41" s="21">
        <x:f t="shared" si="10"/>
        <x:v>80430</x:v>
      </x:c>
      <x:c r="P41" s="21">
        <x:f t="shared" si="11"/>
        <x:v>32550</x:v>
      </x:c>
      <x:c r="Q41" s="5">
        <x:f t="shared" si="12"/>
        <x:v>0.12481644640234957</x:v>
      </x:c>
      <x:c r="R41" t="str">
        <x:f t="shared" si="13"/>
        <x:v>Hold / monitor</x:v>
      </x:c>
    </x:row>
    <x:row r="42" ht="21" customHeight="1">
      <x:c r="A42" s="4">
        <x:v>46354</x:v>
      </x:c>
      <x:c r="B42" t="s">
        <x:v>18</x:v>
      </x:c>
      <x:c r="C42" t="s">
        <x:v>44</x:v>
      </x:c>
      <x:c r="D42">
        <x:v>49</x:v>
      </x:c>
      <x:c r="E42">
        <x:v>252</x:v>
      </x:c>
      <x:c r="F42">
        <x:v>140</x:v>
      </x:c>
      <x:c r="G42">
        <x:v>20</x:v>
      </x:c>
      <x:c r="H42">
        <x:v>29</x:v>
      </x:c>
      <x:c r="I42" s="21">
        <x:v>677</x:v>
      </x:c>
      <x:c r="J42" s="21">
        <x:v>373</x:v>
      </x:c>
      <x:c r="K42" s="21">
        <x:v>605</x:v>
      </x:c>
      <x:c r="L42" s="5">
        <x:f t="shared" si="7"/>
        <x:v>0.55555555555555558</x:v>
      </x:c>
      <x:c r="M42">
        <x:f t="shared" si="8"/>
        <x:v>112</x:v>
      </x:c>
      <x:c r="N42" s="5">
        <x:f t="shared" si="9"/>
        <x:v>-0.31034482758620685</x:v>
      </x:c>
      <x:c r="O42" s="21">
        <x:f t="shared" si="10"/>
        <x:v>94780</x:v>
      </x:c>
      <x:c r="P42" s="21">
        <x:f t="shared" si="11"/>
        <x:v>42560</x:v>
      </x:c>
      <x:c r="Q42" s="5">
        <x:f t="shared" si="12"/>
        <x:v>0.11900826446280988</x:v>
      </x:c>
      <x:c r="R42" t="str">
        <x:f t="shared" si="13"/>
        <x:v>Hold / monitor</x:v>
      </x:c>
    </x:row>
    <x:row r="43" ht="21" customHeight="1">
      <x:c r="A43" s="4">
        <x:v>46354</x:v>
      </x:c>
      <x:c r="B43" t="s">
        <x:v>19</x:v>
      </x:c>
      <x:c r="C43" t="s">
        <x:v>43</x:v>
      </x:c>
      <x:c r="D43">
        <x:v>49</x:v>
      </x:c>
      <x:c r="E43">
        <x:v>228</x:v>
      </x:c>
      <x:c r="F43">
        <x:v>101</x:v>
      </x:c>
      <x:c r="G43">
        <x:v>34</x:v>
      </x:c>
      <x:c r="H43">
        <x:v>31</x:v>
      </x:c>
      <x:c r="I43" s="21">
        <x:v>616</x:v>
      </x:c>
      <x:c r="J43" s="21">
        <x:v>317</x:v>
      </x:c>
      <x:c r="K43" s="21">
        <x:v>586</x:v>
      </x:c>
      <x:c r="L43" s="5">
        <x:f t="shared" si="7"/>
        <x:v>0.44298245614035087</x:v>
      </x:c>
      <x:c r="M43">
        <x:f t="shared" si="8"/>
        <x:v>127</x:v>
      </x:c>
      <x:c r="N43" s="5">
        <x:f t="shared" si="9"/>
        <x:v>9.6774193548387011E-2</x:v>
      </x:c>
      <x:c r="O43" s="21">
        <x:f t="shared" si="10"/>
        <x:v>62216</x:v>
      </x:c>
      <x:c r="P43" s="21">
        <x:f t="shared" si="11"/>
        <x:v>30199</x:v>
      </x:c>
      <x:c r="Q43" s="5">
        <x:f t="shared" si="12"/>
        <x:v>5.1194539249146853E-2</x:v>
      </x:c>
      <x:c r="R43" t="str">
        <x:f t="shared" si="13"/>
        <x:v>Hold / monitor</x:v>
      </x:c>
    </x:row>
    <x:row r="44" ht="21" customHeight="1">
      <x:c r="A44" s="4">
        <x:v>46354</x:v>
      </x:c>
      <x:c r="B44" t="s">
        <x:v>20</x:v>
      </x:c>
      <x:c r="C44" t="s">
        <x:v>40</x:v>
      </x:c>
      <x:c r="D44">
        <x:v>49</x:v>
      </x:c>
      <x:c r="E44">
        <x:v>168</x:v>
      </x:c>
      <x:c r="F44">
        <x:v>96</x:v>
      </x:c>
      <x:c r="G44">
        <x:v>26</x:v>
      </x:c>
      <x:c r="H44">
        <x:v>19</x:v>
      </x:c>
      <x:c r="I44" s="21">
        <x:v>620</x:v>
      </x:c>
      <x:c r="J44" s="21">
        <x:v>440</x:v>
      </x:c>
      <x:c r="K44" s="21">
        <x:v>622</x:v>
      </x:c>
      <x:c r="L44" s="5">
        <x:f t="shared" si="7"/>
        <x:v>0.5714285714285714</x:v>
      </x:c>
      <x:c r="M44">
        <x:f t="shared" si="8"/>
        <x:v>72</x:v>
      </x:c>
      <x:c r="N44" s="5">
        <x:f t="shared" si="9"/>
        <x:v>0.36842105263157898</x:v>
      </x:c>
      <x:c r="O44" s="21">
        <x:f t="shared" si="10"/>
        <x:v>59520</x:v>
      </x:c>
      <x:c r="P44" s="21">
        <x:f t="shared" si="11"/>
        <x:v>17280</x:v>
      </x:c>
      <x:c r="Q44" s="5">
        <x:f t="shared" si="12"/>
        <x:v>-3.215434083601254E-3</x:v>
      </x:c>
      <x:c r="R44" t="str">
        <x:f t="shared" si="13"/>
        <x:v>Hold / monitor</x:v>
      </x:c>
    </x:row>
    <x:row r="45" ht="21" customHeight="1">
      <x:c r="A45" s="4">
        <x:v>46354</x:v>
      </x:c>
      <x:c r="B45" t="s">
        <x:v>21</x:v>
      </x:c>
      <x:c r="C45" t="s">
        <x:v>47</x:v>
      </x:c>
      <x:c r="D45">
        <x:v>49</x:v>
      </x:c>
      <x:c r="E45">
        <x:v>304</x:v>
      </x:c>
      <x:c r="F45">
        <x:v>117</x:v>
      </x:c>
      <x:c r="G45">
        <x:v>55</x:v>
      </x:c>
      <x:c r="H45">
        <x:v>71</x:v>
      </x:c>
      <x:c r="I45" s="21">
        <x:v>657</x:v>
      </x:c>
      <x:c r="J45" s="21">
        <x:v>413</x:v>
      </x:c>
      <x:c r="K45" s="21">
        <x:v>734</x:v>
      </x:c>
      <x:c r="L45" s="5">
        <x:f t="shared" si="7"/>
        <x:v>0.38486842105263158</x:v>
      </x:c>
      <x:c r="M45">
        <x:f t="shared" si="8"/>
        <x:v>187</x:v>
      </x:c>
      <x:c r="N45" s="5">
        <x:f t="shared" si="9"/>
        <x:v>-0.22535211267605637</x:v>
      </x:c>
      <x:c r="O45" s="21">
        <x:f t="shared" si="10"/>
        <x:v>76869</x:v>
      </x:c>
      <x:c r="P45" s="21">
        <x:f t="shared" si="11"/>
        <x:v>28548</x:v>
      </x:c>
      <x:c r="Q45" s="5">
        <x:f t="shared" si="12"/>
        <x:v>-0.10490463215258861</x:v>
      </x:c>
      <x:c r="R45" t="str">
        <x:f t="shared" si="13"/>
        <x:v>Hold / monitor</x:v>
      </x:c>
    </x:row>
    <x:row r="46" ht="21" customHeight="1">
      <x:c r="A46" s="4">
        <x:v>46354</x:v>
      </x:c>
      <x:c r="B46" t="s">
        <x:v>22</x:v>
      </x:c>
      <x:c r="C46" t="s">
        <x:v>46</x:v>
      </x:c>
      <x:c r="D46">
        <x:v>49</x:v>
      </x:c>
      <x:c r="E46">
        <x:v>304</x:v>
      </x:c>
      <x:c r="F46">
        <x:v>205</x:v>
      </x:c>
      <x:c r="G46">
        <x:v>17</x:v>
      </x:c>
      <x:c r="H46">
        <x:v>17</x:v>
      </x:c>
      <x:c r="I46" s="21">
        <x:v>626</x:v>
      </x:c>
      <x:c r="J46" s="21">
        <x:v>396</x:v>
      </x:c>
      <x:c r="K46" s="21">
        <x:v>553</x:v>
      </x:c>
      <x:c r="L46" s="5">
        <x:f t="shared" si="7"/>
        <x:v>0.67434210526315785</x:v>
      </x:c>
      <x:c r="M46">
        <x:f t="shared" si="8"/>
        <x:v>99</x:v>
      </x:c>
      <x:c r="N46" s="5">
        <x:f t="shared" si="9"/>
        <x:v>0</x:v>
      </x:c>
      <x:c r="O46" s="21">
        <x:f t="shared" si="10"/>
        <x:v>128330</x:v>
      </x:c>
      <x:c r="P46" s="21">
        <x:f t="shared" si="11"/>
        <x:v>47150</x:v>
      </x:c>
      <x:c r="Q46" s="5">
        <x:f t="shared" si="12"/>
        <x:v>0.13200723327305597</x:v>
      </x:c>
      <x:c r="R46" t="str">
        <x:f t="shared" si="13"/>
        <x:v>Hold / monitor</x:v>
      </x:c>
    </x:row>
    <x:row r="47" ht="21" customHeight="1">
      <x:c r="A47" s="4">
        <x:v>46361</x:v>
      </x:c>
      <x:c r="B47" t="s">
        <x:v>17</x:v>
      </x:c>
      <x:c r="C47" t="s">
        <x:v>48</x:v>
      </x:c>
      <x:c r="D47">
        <x:v>56</x:v>
      </x:c>
      <x:c r="E47">
        <x:v>228</x:v>
      </x:c>
      <x:c r="F47">
        <x:v>85</x:v>
      </x:c>
      <x:c r="G47">
        <x:v>36</x:v>
      </x:c>
      <x:c r="H47">
        <x:v>32</x:v>
      </x:c>
      <x:c r="I47" s="21">
        <x:v>817</x:v>
      </x:c>
      <x:c r="J47" s="21">
        <x:v>480</x:v>
      </x:c>
      <x:c r="K47" s="21">
        <x:v>787</x:v>
      </x:c>
      <x:c r="L47" s="5">
        <x:f t="shared" si="7"/>
        <x:v>0.37280701754385964</x:v>
      </x:c>
      <x:c r="M47">
        <x:f t="shared" si="8"/>
        <x:v>143</x:v>
      </x:c>
      <x:c r="N47" s="5">
        <x:f t="shared" si="9"/>
        <x:v>0.125</x:v>
      </x:c>
      <x:c r="O47" s="21">
        <x:f t="shared" si="10"/>
        <x:v>69445</x:v>
      </x:c>
      <x:c r="P47" s="21">
        <x:f t="shared" si="11"/>
        <x:v>28645</x:v>
      </x:c>
      <x:c r="Q47" s="5">
        <x:f t="shared" si="12"/>
        <x:v>3.8119440914866631E-2</x:v>
      </x:c>
      <x:c r="R47" t="str">
        <x:f t="shared" si="13"/>
        <x:v>Hold / monitor</x:v>
      </x:c>
    </x:row>
    <x:row r="48" ht="21" customHeight="1">
      <x:c r="A48" s="4">
        <x:v>46361</x:v>
      </x:c>
      <x:c r="B48" t="s">
        <x:v>18</x:v>
      </x:c>
      <x:c r="C48" t="s">
        <x:v>44</x:v>
      </x:c>
      <x:c r="D48">
        <x:v>56</x:v>
      </x:c>
      <x:c r="E48">
        <x:v>186</x:v>
      </x:c>
      <x:c r="F48">
        <x:v>52</x:v>
      </x:c>
      <x:c r="G48">
        <x:v>40</x:v>
      </x:c>
      <x:c r="H48">
        <x:v>29</x:v>
      </x:c>
      <x:c r="I48" s="21">
        <x:v>606</x:v>
      </x:c>
      <x:c r="J48" s="21">
        <x:v>367</x:v>
      </x:c>
      <x:c r="K48" s="21">
        <x:v>650</x:v>
      </x:c>
      <x:c r="L48" s="5">
        <x:f t="shared" si="7"/>
        <x:v>0.27956989247311825</x:v>
      </x:c>
      <x:c r="M48">
        <x:f t="shared" si="8"/>
        <x:v>134</x:v>
      </x:c>
      <x:c r="N48" s="5">
        <x:f t="shared" si="9"/>
        <x:v>0.3793103448275863</x:v>
      </x:c>
      <x:c r="O48" s="21">
        <x:f t="shared" si="10"/>
        <x:v>31512</x:v>
      </x:c>
      <x:c r="P48" s="21">
        <x:f t="shared" si="11"/>
        <x:v>12428</x:v>
      </x:c>
      <x:c r="Q48" s="5">
        <x:f t="shared" si="12"/>
        <x:v>-6.7692307692307718E-2</x:v>
      </x:c>
      <x:c r="R48" t="str">
        <x:f t="shared" si="13"/>
        <x:v>Hold / monitor</x:v>
      </x:c>
    </x:row>
    <x:row r="49" ht="21" customHeight="1">
      <x:c r="A49" s="4">
        <x:v>46361</x:v>
      </x:c>
      <x:c r="B49" t="s">
        <x:v>19</x:v>
      </x:c>
      <x:c r="C49" t="s">
        <x:v>43</x:v>
      </x:c>
      <x:c r="D49">
        <x:v>56</x:v>
      </x:c>
      <x:c r="E49">
        <x:v>214</x:v>
      </x:c>
      <x:c r="F49">
        <x:v>116</x:v>
      </x:c>
      <x:c r="G49">
        <x:v>24</x:v>
      </x:c>
      <x:c r="H49">
        <x:v>24</x:v>
      </x:c>
      <x:c r="I49" s="21">
        <x:v>521</x:v>
      </x:c>
      <x:c r="J49" s="21">
        <x:v>327</x:v>
      </x:c>
      <x:c r="K49" s="21">
        <x:v>488</x:v>
      </x:c>
      <x:c r="L49" s="5">
        <x:f t="shared" si="7"/>
        <x:v>0.54205607476635509</x:v>
      </x:c>
      <x:c r="M49">
        <x:f t="shared" si="8"/>
        <x:v>98</x:v>
      </x:c>
      <x:c r="N49" s="5">
        <x:f t="shared" si="9"/>
        <x:v>0</x:v>
      </x:c>
      <x:c r="O49" s="21">
        <x:f t="shared" si="10"/>
        <x:v>60436</x:v>
      </x:c>
      <x:c r="P49" s="21">
        <x:f t="shared" si="11"/>
        <x:v>22504</x:v>
      </x:c>
      <x:c r="Q49" s="5">
        <x:f t="shared" si="12"/>
        <x:v>6.7622950819672178E-2</x:v>
      </x:c>
      <x:c r="R49" t="str">
        <x:f t="shared" si="13"/>
        <x:v>Hold / monitor</x:v>
      </x:c>
    </x:row>
    <x:row r="50" ht="21" customHeight="1">
      <x:c r="A50" s="4">
        <x:v>46361</x:v>
      </x:c>
      <x:c r="B50" t="s">
        <x:v>20</x:v>
      </x:c>
      <x:c r="C50" t="s">
        <x:v>40</x:v>
      </x:c>
      <x:c r="D50">
        <x:v>56</x:v>
      </x:c>
      <x:c r="E50">
        <x:v>186</x:v>
      </x:c>
      <x:c r="F50">
        <x:v>59</x:v>
      </x:c>
      <x:c r="G50">
        <x:v>18</x:v>
      </x:c>
      <x:c r="H50">
        <x:v>20</x:v>
      </x:c>
      <x:c r="I50" s="21">
        <x:v>747</x:v>
      </x:c>
      <x:c r="J50" s="21">
        <x:v>428</x:v>
      </x:c>
      <x:c r="K50" s="21">
        <x:v>778</x:v>
      </x:c>
      <x:c r="L50" s="5">
        <x:f t="shared" si="7"/>
        <x:v>0.31720430107526881</x:v>
      </x:c>
      <x:c r="M50">
        <x:f t="shared" si="8"/>
        <x:v>127</x:v>
      </x:c>
      <x:c r="N50" s="5">
        <x:f t="shared" si="9"/>
        <x:v>-9.9999999999999978E-2</x:v>
      </x:c>
      <x:c r="O50" s="21">
        <x:f t="shared" si="10"/>
        <x:v>44073</x:v>
      </x:c>
      <x:c r="P50" s="21">
        <x:f t="shared" si="11"/>
        <x:v>18821</x:v>
      </x:c>
      <x:c r="Q50" s="5">
        <x:f t="shared" si="12"/>
        <x:v>-3.9845758354755789E-2</x:v>
      </x:c>
      <x:c r="R50" t="str">
        <x:f t="shared" si="13"/>
        <x:v>Hold / monitor</x:v>
      </x:c>
    </x:row>
    <x:row r="51" ht="21" customHeight="1">
      <x:c r="A51" s="4">
        <x:v>46361</x:v>
      </x:c>
      <x:c r="B51" t="s">
        <x:v>21</x:v>
      </x:c>
      <x:c r="C51" t="s">
        <x:v>47</x:v>
      </x:c>
      <x:c r="D51">
        <x:v>56</x:v>
      </x:c>
      <x:c r="E51">
        <x:v>286</x:v>
      </x:c>
      <x:c r="F51">
        <x:v>114</x:v>
      </x:c>
      <x:c r="G51">
        <x:v>42</x:v>
      </x:c>
      <x:c r="H51">
        <x:v>45</x:v>
      </x:c>
      <x:c r="I51" s="21">
        <x:v>612</x:v>
      </x:c>
      <x:c r="J51" s="21">
        <x:v>391</x:v>
      </x:c>
      <x:c r="K51" s="21">
        <x:v>583</x:v>
      </x:c>
      <x:c r="L51" s="5">
        <x:f t="shared" si="7"/>
        <x:v>0.39860139860139859</x:v>
      </x:c>
      <x:c r="M51">
        <x:f t="shared" si="8"/>
        <x:v>172</x:v>
      </x:c>
      <x:c r="N51" s="5">
        <x:f t="shared" si="9"/>
        <x:v>-6.6666666666666652E-2</x:v>
      </x:c>
      <x:c r="O51" s="21">
        <x:f t="shared" si="10"/>
        <x:v>69768</x:v>
      </x:c>
      <x:c r="P51" s="21">
        <x:f t="shared" si="11"/>
        <x:v>25194</x:v>
      </x:c>
      <x:c r="Q51" s="5">
        <x:f t="shared" si="12"/>
        <x:v>4.9742710120068701E-2</x:v>
      </x:c>
      <x:c r="R51" t="str">
        <x:f t="shared" si="13"/>
        <x:v>Hold / monitor</x:v>
      </x:c>
    </x:row>
    <x:row r="52" ht="21" customHeight="1">
      <x:c r="A52" s="4">
        <x:v>46361</x:v>
      </x:c>
      <x:c r="B52" t="s">
        <x:v>22</x:v>
      </x:c>
      <x:c r="C52" t="s">
        <x:v>46</x:v>
      </x:c>
      <x:c r="D52">
        <x:v>56</x:v>
      </x:c>
      <x:c r="E52">
        <x:v>186</x:v>
      </x:c>
      <x:c r="F52">
        <x:v>107</x:v>
      </x:c>
      <x:c r="G52">
        <x:v>17</x:v>
      </x:c>
      <x:c r="H52">
        <x:v>20</x:v>
      </x:c>
      <x:c r="I52" s="21">
        <x:v>549</x:v>
      </x:c>
      <x:c r="J52" s="21">
        <x:v>394</x:v>
      </x:c>
      <x:c r="K52" s="21">
        <x:v>537</x:v>
      </x:c>
      <x:c r="L52" s="5">
        <x:f t="shared" si="7"/>
        <x:v>0.57526881720430112</x:v>
      </x:c>
      <x:c r="M52">
        <x:f t="shared" si="8"/>
        <x:v>79</x:v>
      </x:c>
      <x:c r="N52" s="5">
        <x:f t="shared" si="9"/>
        <x:v>-0.15000000000000002</x:v>
      </x:c>
      <x:c r="O52" s="21">
        <x:f t="shared" si="10"/>
        <x:v>58743</x:v>
      </x:c>
      <x:c r="P52" s="21">
        <x:f t="shared" si="11"/>
        <x:v>16585</x:v>
      </x:c>
      <x:c r="Q52" s="5">
        <x:f t="shared" si="12"/>
        <x:v>2.2346368715083775E-2</x:v>
      </x:c>
      <x:c r="R52" t="str">
        <x:f t="shared" si="13"/>
        <x:v>Hold / monitor</x:v>
      </x:c>
    </x:row>
    <x:row r="53" ht="21" customHeight="1">
      <x:c r="A53" s="4">
        <x:v>46368</x:v>
      </x:c>
      <x:c r="B53" t="s">
        <x:v>17</x:v>
      </x:c>
      <x:c r="C53" t="s">
        <x:v>48</x:v>
      </x:c>
      <x:c r="D53">
        <x:v>63</x:v>
      </x:c>
      <x:c r="E53">
        <x:v>286</x:v>
      </x:c>
      <x:c r="F53">
        <x:v>142</x:v>
      </x:c>
      <x:c r="G53">
        <x:v>25</x:v>
      </x:c>
      <x:c r="H53">
        <x:v>34</x:v>
      </x:c>
      <x:c r="I53" s="21">
        <x:v>778</x:v>
      </x:c>
      <x:c r="J53" s="21">
        <x:v>480</x:v>
      </x:c>
      <x:c r="K53" s="21">
        <x:v>686</x:v>
      </x:c>
      <x:c r="L53" s="5">
        <x:f t="shared" si="7"/>
        <x:v>0.49650349650349651</x:v>
      </x:c>
      <x:c r="M53">
        <x:f t="shared" si="8"/>
        <x:v>144</x:v>
      </x:c>
      <x:c r="N53" s="5">
        <x:f t="shared" si="9"/>
        <x:v>-0.26470588235294112</x:v>
      </x:c>
      <x:c r="O53" s="21">
        <x:f t="shared" si="10"/>
        <x:v>110476</x:v>
      </x:c>
      <x:c r="P53" s="21">
        <x:f t="shared" si="11"/>
        <x:v>42316</x:v>
      </x:c>
      <x:c r="Q53" s="5">
        <x:f t="shared" si="12"/>
        <x:v>0.13411078717201175</x:v>
      </x:c>
      <x:c r="R53" t="str">
        <x:f t="shared" si="13"/>
        <x:v>Hold / monitor</x:v>
      </x:c>
    </x:row>
    <x:row r="54" ht="21" customHeight="1">
      <x:c r="A54" s="4">
        <x:v>46368</x:v>
      </x:c>
      <x:c r="B54" t="s">
        <x:v>18</x:v>
      </x:c>
      <x:c r="C54" t="s">
        <x:v>44</x:v>
      </x:c>
      <x:c r="D54">
        <x:v>63</x:v>
      </x:c>
      <x:c r="E54">
        <x:v>286</x:v>
      </x:c>
      <x:c r="F54">
        <x:v>90</x:v>
      </x:c>
      <x:c r="G54">
        <x:v>34</x:v>
      </x:c>
      <x:c r="H54">
        <x:v>35</x:v>
      </x:c>
      <x:c r="I54" s="21">
        <x:v>595</x:v>
      </x:c>
      <x:c r="J54" s="21">
        <x:v>372</x:v>
      </x:c>
      <x:c r="K54" s="21">
        <x:v>562</x:v>
      </x:c>
      <x:c r="L54" s="5">
        <x:f t="shared" si="7"/>
        <x:v>0.31468531468531469</x:v>
      </x:c>
      <x:c r="M54">
        <x:f t="shared" si="8"/>
        <x:v>196</x:v>
      </x:c>
      <x:c r="N54" s="5">
        <x:f t="shared" si="9"/>
        <x:v>-2.8571428571428581E-2</x:v>
      </x:c>
      <x:c r="O54" s="21">
        <x:f t="shared" si="10"/>
        <x:v>53550</x:v>
      </x:c>
      <x:c r="P54" s="21">
        <x:f t="shared" si="11"/>
        <x:v>20070</x:v>
      </x:c>
      <x:c r="Q54" s="5">
        <x:f t="shared" si="12"/>
        <x:v>5.8718861209964501E-2</x:v>
      </x:c>
      <x:c r="R54" t="str">
        <x:f t="shared" si="13"/>
        <x:v>Hold / monitor</x:v>
      </x:c>
    </x:row>
    <x:row r="55" ht="21" customHeight="1">
      <x:c r="A55" s="4">
        <x:v>46368</x:v>
      </x:c>
      <x:c r="B55" t="s">
        <x:v>19</x:v>
      </x:c>
      <x:c r="C55" t="s">
        <x:v>43</x:v>
      </x:c>
      <x:c r="D55">
        <x:v>63</x:v>
      </x:c>
      <x:c r="E55">
        <x:v>186</x:v>
      </x:c>
      <x:c r="F55">
        <x:v>49</x:v>
      </x:c>
      <x:c r="G55">
        <x:v>27</x:v>
      </x:c>
      <x:c r="H55">
        <x:v>36</x:v>
      </x:c>
      <x:c r="I55" s="21">
        <x:v>618</x:v>
      </x:c>
      <x:c r="J55" s="21">
        <x:v>332</x:v>
      </x:c>
      <x:c r="K55" s="21">
        <x:v>605</x:v>
      </x:c>
      <x:c r="L55" s="5">
        <x:f t="shared" si="7"/>
        <x:v>0.26344086021505375</x:v>
      </x:c>
      <x:c r="M55">
        <x:f t="shared" si="8"/>
        <x:v>137</x:v>
      </x:c>
      <x:c r="N55" s="5">
        <x:f t="shared" si="9"/>
        <x:v>-0.25</x:v>
      </x:c>
      <x:c r="O55" s="21">
        <x:f t="shared" si="10"/>
        <x:v>30282</x:v>
      </x:c>
      <x:c r="P55" s="21">
        <x:f t="shared" si="11"/>
        <x:v>14014</x:v>
      </x:c>
      <x:c r="Q55" s="5">
        <x:f t="shared" si="12"/>
        <x:v>2.1487603305785141E-2</x:v>
      </x:c>
      <x:c r="R55" t="str">
        <x:f t="shared" si="13"/>
        <x:v>Hold / monitor</x:v>
      </x:c>
    </x:row>
    <x:row r="56" ht="21" customHeight="1">
      <x:c r="A56" s="4">
        <x:v>46368</x:v>
      </x:c>
      <x:c r="B56" t="s">
        <x:v>20</x:v>
      </x:c>
      <x:c r="C56" t="s">
        <x:v>40</x:v>
      </x:c>
      <x:c r="D56">
        <x:v>63</x:v>
      </x:c>
      <x:c r="E56">
        <x:v>286</x:v>
      </x:c>
      <x:c r="F56">
        <x:v>142</x:v>
      </x:c>
      <x:c r="G56">
        <x:v>38</x:v>
      </x:c>
      <x:c r="H56">
        <x:v>35</x:v>
      </x:c>
      <x:c r="I56" s="21">
        <x:v>614</x:v>
      </x:c>
      <x:c r="J56" s="21">
        <x:v>430</x:v>
      </x:c>
      <x:c r="K56" s="21">
        <x:v>552</x:v>
      </x:c>
      <x:c r="L56" s="5">
        <x:f t="shared" si="7"/>
        <x:v>0.49650349650349651</x:v>
      </x:c>
      <x:c r="M56">
        <x:f t="shared" si="8"/>
        <x:v>144</x:v>
      </x:c>
      <x:c r="N56" s="5">
        <x:f t="shared" si="9"/>
        <x:v>8.5714285714285632E-2</x:v>
      </x:c>
      <x:c r="O56" s="21">
        <x:f t="shared" si="10"/>
        <x:v>87188</x:v>
      </x:c>
      <x:c r="P56" s="21">
        <x:f t="shared" si="11"/>
        <x:v>26128</x:v>
      </x:c>
      <x:c r="Q56" s="5">
        <x:f t="shared" si="12"/>
        <x:v>0.1123188405797102</x:v>
      </x:c>
      <x:c r="R56" t="str">
        <x:f t="shared" si="13"/>
        <x:v>Hold / monitor</x:v>
      </x:c>
    </x:row>
    <x:row r="57" ht="21" customHeight="1">
      <x:c r="A57" s="4">
        <x:v>46368</x:v>
      </x:c>
      <x:c r="B57" t="s">
        <x:v>21</x:v>
      </x:c>
      <x:c r="C57" t="s">
        <x:v>47</x:v>
      </x:c>
      <x:c r="D57">
        <x:v>63</x:v>
      </x:c>
      <x:c r="E57">
        <x:v>214</x:v>
      </x:c>
      <x:c r="F57">
        <x:v>107</x:v>
      </x:c>
      <x:c r="G57">
        <x:v>15</x:v>
      </x:c>
      <x:c r="H57">
        <x:v>15</x:v>
      </x:c>
      <x:c r="I57" s="21">
        <x:v>718</x:v>
      </x:c>
      <x:c r="J57" s="21">
        <x:v>403</x:v>
      </x:c>
      <x:c r="K57" s="21">
        <x:v>688</x:v>
      </x:c>
      <x:c r="L57" s="5">
        <x:f t="shared" si="7"/>
        <x:v>0.5</x:v>
      </x:c>
      <x:c r="M57">
        <x:f t="shared" si="8"/>
        <x:v>107</x:v>
      </x:c>
      <x:c r="N57" s="5">
        <x:f t="shared" si="9"/>
        <x:v>0</x:v>
      </x:c>
      <x:c r="O57" s="21">
        <x:f t="shared" si="10"/>
        <x:v>76826</x:v>
      </x:c>
      <x:c r="P57" s="21">
        <x:f t="shared" si="11"/>
        <x:v>33705</x:v>
      </x:c>
      <x:c r="Q57" s="5">
        <x:f t="shared" si="12"/>
        <x:v>4.3604651162790775E-2</x:v>
      </x:c>
      <x:c r="R57" t="str">
        <x:f t="shared" si="13"/>
        <x:v>Hold / monitor</x:v>
      </x:c>
    </x:row>
    <x:row r="58" ht="21" customHeight="1">
      <x:c r="A58" s="4">
        <x:v>46368</x:v>
      </x:c>
      <x:c r="B58" t="s">
        <x:v>22</x:v>
      </x:c>
      <x:c r="C58" t="s">
        <x:v>46</x:v>
      </x:c>
      <x:c r="D58">
        <x:v>63</x:v>
      </x:c>
      <x:c r="E58">
        <x:v>252</x:v>
      </x:c>
      <x:c r="F58">
        <x:v>70</x:v>
      </x:c>
      <x:c r="G58">
        <x:v>31</x:v>
      </x:c>
      <x:c r="H58">
        <x:v>43</x:v>
      </x:c>
      <x:c r="I58" s="21">
        <x:v>678</x:v>
      </x:c>
      <x:c r="J58" s="21">
        <x:v>378</x:v>
      </x:c>
      <x:c r="K58" s="21">
        <x:v>667</x:v>
      </x:c>
      <x:c r="L58" s="5">
        <x:f t="shared" si="7"/>
        <x:v>0.27777777777777779</x:v>
      </x:c>
      <x:c r="M58">
        <x:f t="shared" si="8"/>
        <x:v>182</x:v>
      </x:c>
      <x:c r="N58" s="5">
        <x:f t="shared" si="9"/>
        <x:v>-0.27906976744186052</x:v>
      </x:c>
      <x:c r="O58" s="21">
        <x:f t="shared" si="10"/>
        <x:v>47460</x:v>
      </x:c>
      <x:c r="P58" s="21">
        <x:f t="shared" si="11"/>
        <x:v>21000</x:v>
      </x:c>
      <x:c r="Q58" s="5">
        <x:f t="shared" si="12"/>
        <x:v>1.6491754122938573E-2</x:v>
      </x:c>
      <x:c r="R58" t="str">
        <x:f t="shared" si="13"/>
        <x:v>Hold / monitor</x:v>
      </x:c>
    </x:row>
    <x:row r="59" ht="21" customHeight="1">
      <x:c r="A59" s="4">
        <x:v>46375</x:v>
      </x:c>
      <x:c r="B59" t="s">
        <x:v>17</x:v>
      </x:c>
      <x:c r="C59" t="s">
        <x:v>48</x:v>
      </x:c>
      <x:c r="D59">
        <x:v>70</x:v>
      </x:c>
      <x:c r="E59">
        <x:v>286</x:v>
      </x:c>
      <x:c r="F59">
        <x:v>114</x:v>
      </x:c>
      <x:c r="G59">
        <x:v>35</x:v>
      </x:c>
      <x:c r="H59">
        <x:v>30</x:v>
      </x:c>
      <x:c r="I59" s="21">
        <x:v>669</x:v>
      </x:c>
      <x:c r="J59" s="21">
        <x:v>483</x:v>
      </x:c>
      <x:c r="K59" s="21">
        <x:v>611</x:v>
      </x:c>
      <x:c r="L59" s="5">
        <x:f t="shared" si="7"/>
        <x:v>0.39860139860139859</x:v>
      </x:c>
      <x:c r="M59">
        <x:f t="shared" si="8"/>
        <x:v>172</x:v>
      </x:c>
      <x:c r="N59" s="5">
        <x:f t="shared" si="9"/>
        <x:v>0.16666666666666674</x:v>
      </x:c>
      <x:c r="O59" s="21">
        <x:f t="shared" si="10"/>
        <x:v>76266</x:v>
      </x:c>
      <x:c r="P59" s="21">
        <x:f t="shared" si="11"/>
        <x:v>21204</x:v>
      </x:c>
      <x:c r="Q59" s="5">
        <x:f t="shared" si="12"/>
        <x:v>9.4926350245499114E-2</x:v>
      </x:c>
      <x:c r="R59" t="str">
        <x:f t="shared" si="13"/>
        <x:v>Hold / monitor</x:v>
      </x:c>
    </x:row>
    <x:row r="60" ht="21" customHeight="1">
      <x:c r="A60" s="4">
        <x:v>46375</x:v>
      </x:c>
      <x:c r="B60" t="s">
        <x:v>18</x:v>
      </x:c>
      <x:c r="C60" t="s">
        <x:v>44</x:v>
      </x:c>
      <x:c r="D60">
        <x:v>70</x:v>
      </x:c>
      <x:c r="E60">
        <x:v>228</x:v>
      </x:c>
      <x:c r="F60">
        <x:v>36</x:v>
      </x:c>
      <x:c r="G60">
        <x:v>50</x:v>
      </x:c>
      <x:c r="H60">
        <x:v>53</x:v>
      </x:c>
      <x:c r="I60" s="21">
        <x:v>590</x:v>
      </x:c>
      <x:c r="J60" s="21">
        <x:v>356</x:v>
      </x:c>
      <x:c r="K60" s="21">
        <x:v>569</x:v>
      </x:c>
      <x:c r="L60" s="5">
        <x:f t="shared" si="7"/>
        <x:v>0.15789473684210525</x:v>
      </x:c>
      <x:c r="M60">
        <x:f t="shared" si="8"/>
        <x:v>192</x:v>
      </x:c>
      <x:c r="N60" s="5">
        <x:f t="shared" si="9"/>
        <x:v>-5.6603773584905648E-2</x:v>
      </x:c>
      <x:c r="O60" s="21">
        <x:f t="shared" si="10"/>
        <x:v>21240</x:v>
      </x:c>
      <x:c r="P60" s="21">
        <x:f t="shared" si="11"/>
        <x:v>8424</x:v>
      </x:c>
      <x:c r="Q60" s="5">
        <x:f t="shared" si="12"/>
        <x:v>3.6906854130052791E-2</x:v>
      </x:c>
      <x:c r="R60" t="str">
        <x:f t="shared" si="13"/>
        <x:v>Hold / monitor</x:v>
      </x:c>
    </x:row>
    <x:row r="61" ht="21" customHeight="1">
      <x:c r="A61" s="4">
        <x:v>46375</x:v>
      </x:c>
      <x:c r="B61" t="s">
        <x:v>19</x:v>
      </x:c>
      <x:c r="C61" t="s">
        <x:v>43</x:v>
      </x:c>
      <x:c r="D61">
        <x:v>70</x:v>
      </x:c>
      <x:c r="E61">
        <x:v>252</x:v>
      </x:c>
      <x:c r="F61">
        <x:v>66</x:v>
      </x:c>
      <x:c r="G61">
        <x:v>32</x:v>
      </x:c>
      <x:c r="H61">
        <x:v>23</x:v>
      </x:c>
      <x:c r="I61" s="21">
        <x:v>527</x:v>
      </x:c>
      <x:c r="J61" s="21">
        <x:v>341</x:v>
      </x:c>
      <x:c r="K61" s="21">
        <x:v>468</x:v>
      </x:c>
      <x:c r="L61" s="5">
        <x:f t="shared" si="7"/>
        <x:v>0.26190476190476192</x:v>
      </x:c>
      <x:c r="M61">
        <x:f t="shared" si="8"/>
        <x:v>186</x:v>
      </x:c>
      <x:c r="N61" s="5">
        <x:f t="shared" si="9"/>
        <x:v>0.39130434782608692</x:v>
      </x:c>
      <x:c r="O61" s="21">
        <x:f t="shared" si="10"/>
        <x:v>34782</x:v>
      </x:c>
      <x:c r="P61" s="21">
        <x:f t="shared" si="11"/>
        <x:v>12276</x:v>
      </x:c>
      <x:c r="Q61" s="5">
        <x:f t="shared" si="12"/>
        <x:v>0.12606837606837606</x:v>
      </x:c>
      <x:c r="R61" t="str">
        <x:f t="shared" si="13"/>
        <x:v>Hold / monitor</x:v>
      </x:c>
    </x:row>
    <x:row r="62" ht="21" customHeight="1">
      <x:c r="A62" s="4">
        <x:v>46375</x:v>
      </x:c>
      <x:c r="B62" t="s">
        <x:v>20</x:v>
      </x:c>
      <x:c r="C62" t="s">
        <x:v>40</x:v>
      </x:c>
      <x:c r="D62">
        <x:v>70</x:v>
      </x:c>
      <x:c r="E62">
        <x:v>286</x:v>
      </x:c>
      <x:c r="F62">
        <x:v>120</x:v>
      </x:c>
      <x:c r="G62">
        <x:v>30</x:v>
      </x:c>
      <x:c r="H62">
        <x:v>44</x:v>
      </x:c>
      <x:c r="I62" s="21">
        <x:v>616</x:v>
      </x:c>
      <x:c r="J62" s="21">
        <x:v>448</x:v>
      </x:c>
      <x:c r="K62" s="21">
        <x:v>586</x:v>
      </x:c>
      <x:c r="L62" s="5">
        <x:f t="shared" si="7"/>
        <x:v>0.41958041958041958</x:v>
      </x:c>
      <x:c r="M62">
        <x:f t="shared" si="8"/>
        <x:v>166</x:v>
      </x:c>
      <x:c r="N62" s="5">
        <x:f t="shared" si="9"/>
        <x:v>-0.31818181818181823</x:v>
      </x:c>
      <x:c r="O62" s="21">
        <x:f t="shared" si="10"/>
        <x:v>73920</x:v>
      </x:c>
      <x:c r="P62" s="21">
        <x:f t="shared" si="11"/>
        <x:v>20160</x:v>
      </x:c>
      <x:c r="Q62" s="5">
        <x:f t="shared" si="12"/>
        <x:v>5.1194539249146853E-2</x:v>
      </x:c>
      <x:c r="R62" t="str">
        <x:f t="shared" si="13"/>
        <x:v>Hold / monitor</x:v>
      </x:c>
    </x:row>
    <x:row r="63" ht="21" customHeight="1">
      <x:c r="A63" s="4">
        <x:v>46375</x:v>
      </x:c>
      <x:c r="B63" t="s">
        <x:v>21</x:v>
      </x:c>
      <x:c r="C63" t="s">
        <x:v>47</x:v>
      </x:c>
      <x:c r="D63">
        <x:v>70</x:v>
      </x:c>
      <x:c r="E63">
        <x:v>186</x:v>
      </x:c>
      <x:c r="F63">
        <x:v>59</x:v>
      </x:c>
      <x:c r="G63">
        <x:v>31</x:v>
      </x:c>
      <x:c r="H63">
        <x:v>30</x:v>
      </x:c>
      <x:c r="I63" s="21">
        <x:v>587</x:v>
      </x:c>
      <x:c r="J63" s="21">
        <x:v>399</x:v>
      </x:c>
      <x:c r="K63" s="21">
        <x:v>527</x:v>
      </x:c>
      <x:c r="L63" s="5">
        <x:f t="shared" si="7"/>
        <x:v>0.31720430107526881</x:v>
      </x:c>
      <x:c r="M63">
        <x:f t="shared" si="8"/>
        <x:v>127</x:v>
      </x:c>
      <x:c r="N63" s="5">
        <x:f t="shared" si="9"/>
        <x:v>3.3333333333333437E-2</x:v>
      </x:c>
      <x:c r="O63" s="21">
        <x:f t="shared" si="10"/>
        <x:v>34633</x:v>
      </x:c>
      <x:c r="P63" s="21">
        <x:f t="shared" si="11"/>
        <x:v>11092</x:v>
      </x:c>
      <x:c r="Q63" s="5">
        <x:f t="shared" si="12"/>
        <x:v>0.1138519924098671</x:v>
      </x:c>
      <x:c r="R63" t="str">
        <x:f t="shared" si="13"/>
        <x:v>Hold / monitor</x:v>
      </x:c>
    </x:row>
    <x:row r="64" ht="21" customHeight="1">
      <x:c r="A64" s="4">
        <x:v>46375</x:v>
      </x:c>
      <x:c r="B64" t="s">
        <x:v>22</x:v>
      </x:c>
      <x:c r="C64" t="s">
        <x:v>46</x:v>
      </x:c>
      <x:c r="D64">
        <x:v>70</x:v>
      </x:c>
      <x:c r="E64">
        <x:v>286</x:v>
      </x:c>
      <x:c r="F64">
        <x:v>131</x:v>
      </x:c>
      <x:c r="G64">
        <x:v>22</x:v>
      </x:c>
      <x:c r="H64">
        <x:v>20</x:v>
      </x:c>
      <x:c r="I64" s="21">
        <x:v>611</x:v>
      </x:c>
      <x:c r="J64" s="21">
        <x:v>378</x:v>
      </x:c>
      <x:c r="K64" s="21">
        <x:v>588</x:v>
      </x:c>
      <x:c r="L64" s="5">
        <x:f t="shared" si="7"/>
        <x:v>0.45804195804195802</x:v>
      </x:c>
      <x:c r="M64">
        <x:f t="shared" si="8"/>
        <x:v>155</x:v>
      </x:c>
      <x:c r="N64" s="5">
        <x:f t="shared" si="9"/>
        <x:v>0.10000000000000009</x:v>
      </x:c>
      <x:c r="O64" s="21">
        <x:f t="shared" si="10"/>
        <x:v>80041</x:v>
      </x:c>
      <x:c r="P64" s="21">
        <x:f t="shared" si="11"/>
        <x:v>30523</x:v>
      </x:c>
      <x:c r="Q64" s="5">
        <x:f t="shared" si="12"/>
        <x:v>3.9115646258503389E-2</x:v>
      </x:c>
      <x:c r="R64" t="str">
        <x:f t="shared" si="13"/>
        <x:v>Hold / monitor</x:v>
      </x:c>
    </x:row>
    <x:row r="65" ht="21" customHeight="1">
      <x:c r="A65" s="4">
        <x:v>46382</x:v>
      </x:c>
      <x:c r="B65" t="s">
        <x:v>17</x:v>
      </x:c>
      <x:c r="C65" t="s">
        <x:v>48</x:v>
      </x:c>
      <x:c r="D65">
        <x:v>77</x:v>
      </x:c>
      <x:c r="E65">
        <x:v>214</x:v>
      </x:c>
      <x:c r="F65">
        <x:v>79</x:v>
      </x:c>
      <x:c r="G65">
        <x:v>26</x:v>
      </x:c>
      <x:c r="H65">
        <x:v>38</x:v>
      </x:c>
      <x:c r="I65" s="21">
        <x:v>645</x:v>
      </x:c>
      <x:c r="J65" s="21">
        <x:v>485</x:v>
      </x:c>
      <x:c r="K65" s="21">
        <x:v>633</x:v>
      </x:c>
      <x:c r="L65" s="5">
        <x:f t="shared" si="7"/>
        <x:v>0.36915887850467288</x:v>
      </x:c>
      <x:c r="M65">
        <x:f t="shared" si="8"/>
        <x:v>135</x:v>
      </x:c>
      <x:c r="N65" s="5">
        <x:f t="shared" si="9"/>
        <x:v>-0.31578947368421051</x:v>
      </x:c>
      <x:c r="O65" s="21">
        <x:f t="shared" si="10"/>
        <x:v>50955</x:v>
      </x:c>
      <x:c r="P65" s="21">
        <x:f t="shared" si="11"/>
        <x:v>12640</x:v>
      </x:c>
      <x:c r="Q65" s="5">
        <x:f t="shared" si="12"/>
        <x:v>1.8957345971563955E-2</x:v>
      </x:c>
      <x:c r="R65" t="str">
        <x:f t="shared" si="13"/>
        <x:v>Hold / monitor</x:v>
      </x:c>
    </x:row>
    <x:row r="66" ht="21" customHeight="1">
      <x:c r="A66" s="4">
        <x:v>46382</x:v>
      </x:c>
      <x:c r="B66" t="s">
        <x:v>18</x:v>
      </x:c>
      <x:c r="C66" t="s">
        <x:v>44</x:v>
      </x:c>
      <x:c r="D66">
        <x:v>77</x:v>
      </x:c>
      <x:c r="E66">
        <x:v>286</x:v>
      </x:c>
      <x:c r="F66">
        <x:v>46</x:v>
      </x:c>
      <x:c r="G66">
        <x:v>69</x:v>
      </x:c>
      <x:c r="H66">
        <x:v>52</x:v>
      </x:c>
      <x:c r="I66" s="21">
        <x:v>653</x:v>
      </x:c>
      <x:c r="J66" s="21">
        <x:v>361</x:v>
      </x:c>
      <x:c r="K66" s="21">
        <x:v>641</x:v>
      </x:c>
      <x:c r="L66" s="5">
        <x:f t="shared" si="7"/>
        <x:v>0.16083916083916083</x:v>
      </x:c>
      <x:c r="M66">
        <x:f t="shared" si="8"/>
        <x:v>240</x:v>
      </x:c>
      <x:c r="N66" s="5">
        <x:f t="shared" si="9"/>
        <x:v>0.32692307692307687</x:v>
      </x:c>
      <x:c r="O66" s="21">
        <x:f t="shared" si="10"/>
        <x:v>30038</x:v>
      </x:c>
      <x:c r="P66" s="21">
        <x:f t="shared" si="11"/>
        <x:v>13432</x:v>
      </x:c>
      <x:c r="Q66" s="5">
        <x:f t="shared" si="12"/>
        <x:v>1.8720748829953227E-2</x:v>
      </x:c>
      <x:c r="R66" t="str">
        <x:f t="shared" si="13"/>
        <x:v>Hold / monitor</x:v>
      </x:c>
    </x:row>
    <x:row r="67" ht="21" customHeight="1">
      <x:c r="A67" s="4">
        <x:v>46382</x:v>
      </x:c>
      <x:c r="B67" t="s">
        <x:v>19</x:v>
      </x:c>
      <x:c r="C67" t="s">
        <x:v>43</x:v>
      </x:c>
      <x:c r="D67">
        <x:v>77</x:v>
      </x:c>
      <x:c r="E67">
        <x:v>304</x:v>
      </x:c>
      <x:c r="F67">
        <x:v>49</x:v>
      </x:c>
      <x:c r="G67">
        <x:v>54</x:v>
      </x:c>
      <x:c r="H67">
        <x:v>81</x:v>
      </x:c>
      <x:c r="I67" s="21">
        <x:v>502</x:v>
      </x:c>
      <x:c r="J67" s="21">
        <x:v>342</x:v>
      </x:c>
      <x:c r="K67" s="21">
        <x:v>521</x:v>
      </x:c>
      <x:c r="L67" s="5">
        <x:f t="shared" si="7"/>
        <x:v>0.16118421052631579</x:v>
      </x:c>
      <x:c r="M67">
        <x:f t="shared" si="8"/>
        <x:v>255</x:v>
      </x:c>
      <x:c r="N67" s="5">
        <x:f t="shared" si="9"/>
        <x:v>-0.33333333333333337</x:v>
      </x:c>
      <x:c r="O67" s="21">
        <x:f t="shared" si="10"/>
        <x:v>24598</x:v>
      </x:c>
      <x:c r="P67" s="21">
        <x:f t="shared" si="11"/>
        <x:v>7840</x:v>
      </x:c>
      <x:c r="Q67" s="5">
        <x:f t="shared" si="12"/>
        <x:v>-3.6468330134357019E-2</x:v>
      </x:c>
      <x:c r="R67" t="str">
        <x:f t="shared" si="13"/>
        <x:v>Hold / monitor</x:v>
      </x:c>
    </x:row>
    <x:row r="68" ht="21" customHeight="1">
      <x:c r="A68" s="4">
        <x:v>46382</x:v>
      </x:c>
      <x:c r="B68" t="s">
        <x:v>20</x:v>
      </x:c>
      <x:c r="C68" t="s">
        <x:v>40</x:v>
      </x:c>
      <x:c r="D68">
        <x:v>77</x:v>
      </x:c>
      <x:c r="E68">
        <x:v>286</x:v>
      </x:c>
      <x:c r="F68">
        <x:v>46</x:v>
      </x:c>
      <x:c r="G68">
        <x:v>68</x:v>
      </x:c>
      <x:c r="H68">
        <x:v>83</x:v>
      </x:c>
      <x:c r="I68" s="21">
        <x:v>617</x:v>
      </x:c>
      <x:c r="J68" s="21">
        <x:v>417</x:v>
      </x:c>
      <x:c r="K68" s="21">
        <x:v>604</x:v>
      </x:c>
      <x:c r="L68" s="5">
        <x:f t="shared" si="7"/>
        <x:v>0.16083916083916083</x:v>
      </x:c>
      <x:c r="M68">
        <x:f t="shared" si="8"/>
        <x:v>240</x:v>
      </x:c>
      <x:c r="N68" s="5">
        <x:f t="shared" si="9"/>
        <x:v>-0.18072289156626509</x:v>
      </x:c>
      <x:c r="O68" s="21">
        <x:f t="shared" si="10"/>
        <x:v>28382</x:v>
      </x:c>
      <x:c r="P68" s="21">
        <x:f t="shared" si="11"/>
        <x:v>9200</x:v>
      </x:c>
      <x:c r="Q68" s="5">
        <x:f t="shared" si="12"/>
        <x:v>2.1523178807947074E-2</x:v>
      </x:c>
      <x:c r="R68" t="str">
        <x:f t="shared" si="13"/>
        <x:v>Hold / monitor</x:v>
      </x:c>
    </x:row>
    <x:row r="69" ht="21" customHeight="1">
      <x:c r="A69" s="4">
        <x:v>46382</x:v>
      </x:c>
      <x:c r="B69" t="s">
        <x:v>21</x:v>
      </x:c>
      <x:c r="C69" t="s">
        <x:v>47</x:v>
      </x:c>
      <x:c r="D69">
        <x:v>77</x:v>
      </x:c>
      <x:c r="E69">
        <x:v>252</x:v>
      </x:c>
      <x:c r="F69">
        <x:v>41</x:v>
      </x:c>
      <x:c r="G69">
        <x:v>43</x:v>
      </x:c>
      <x:c r="H69">
        <x:v>65</x:v>
      </x:c>
      <x:c r="I69" s="21">
        <x:v>608</x:v>
      </x:c>
      <x:c r="J69" s="21">
        <x:v>378</x:v>
      </x:c>
      <x:c r="K69" s="21">
        <x:v>632</x:v>
      </x:c>
      <x:c r="L69" s="5" t="n">
        <x:f t="shared" ref="L69:L76" si="14">IFERROR(F69/E69,0)</x:f>
        <x:v>0.1626984126984127</x:v>
      </x:c>
      <x:c r="M69" t="n">
        <x:f t="shared" ref="M69:M76" si="15">E69-F69</x:f>
        <x:v>211</x:v>
      </x:c>
      <x:c r="N69" s="5" t="n">
        <x:f t="shared" ref="N69:N76" si="16">IFERROR(G69/H69-1,0)</x:f>
        <x:v>-0.3384615384615385</x:v>
      </x:c>
      <x:c r="O69" s="21" t="n">
        <x:f t="shared" ref="O69:O76" si="17">F69*I69</x:f>
        <x:v>24928</x:v>
      </x:c>
      <x:c r="P69" s="21" t="n">
        <x:f t="shared" ref="P69:P76" si="18">F69*(I69-J69)</x:f>
        <x:v>9430</x:v>
      </x:c>
      <x:c r="Q69" s="5" t="n">
        <x:f t="shared" ref="Q69:Q76" si="19">IFERROR(I69/K69-1,0)</x:f>
        <x:v>-0.03797468354430378</x:v>
      </x:c>
      <x:c r="R69" t="str">
        <x:f t="shared" ref="R69:R76" si="20">IF(AND(L69&gt;=0.74,N69&gt;0.1,D69&gt;=7),"Review increase",IF(AND(L69&lt;0.55,D69&lt;=28),"Review decrease","Hold / monitor"))</x:f>
        <x:v>Hold / monitor</x:v>
      </x:c>
    </x:row>
    <x:row r="70" ht="21" customHeight="1">
      <x:c r="A70" s="4">
        <x:v>46382</x:v>
      </x:c>
      <x:c r="B70" t="s">
        <x:v>22</x:v>
      </x:c>
      <x:c r="C70" t="s">
        <x:v>46</x:v>
      </x:c>
      <x:c r="D70">
        <x:v>77</x:v>
      </x:c>
      <x:c r="E70">
        <x:v>304</x:v>
      </x:c>
      <x:c r="F70">
        <x:v>49</x:v>
      </x:c>
      <x:c r="G70">
        <x:v>70</x:v>
      </x:c>
      <x:c r="H70">
        <x:v>61</x:v>
      </x:c>
      <x:c r="I70" s="21">
        <x:v>631</x:v>
      </x:c>
      <x:c r="J70" s="21">
        <x:v>372</x:v>
      </x:c>
      <x:c r="K70" s="21">
        <x:v>627</x:v>
      </x:c>
      <x:c r="L70" s="5">
        <x:f t="shared" si="14"/>
        <x:v>0.16118421052631579</x:v>
      </x:c>
      <x:c r="M70">
        <x:f t="shared" si="15"/>
        <x:v>255</x:v>
      </x:c>
      <x:c r="N70" s="5">
        <x:f t="shared" si="16"/>
        <x:v>0.14754098360655732</x:v>
      </x:c>
      <x:c r="O70" s="21">
        <x:f t="shared" si="17"/>
        <x:v>30919</x:v>
      </x:c>
      <x:c r="P70" s="21">
        <x:f t="shared" si="18"/>
        <x:v>12691</x:v>
      </x:c>
      <x:c r="Q70" s="5">
        <x:f t="shared" si="19"/>
        <x:v>6.3795853269537073E-3</x:v>
      </x:c>
      <x:c r="R70" t="str">
        <x:f t="shared" si="20"/>
        <x:v>Hold / monitor</x:v>
      </x:c>
    </x:row>
    <x:row r="71" ht="21" customHeight="1">
      <x:c r="A71" s="4">
        <x:v>46389</x:v>
      </x:c>
      <x:c r="B71" t="s">
        <x:v>17</x:v>
      </x:c>
      <x:c r="C71" t="s">
        <x:v>48</x:v>
      </x:c>
      <x:c r="D71">
        <x:v>84</x:v>
      </x:c>
      <x:c r="E71">
        <x:v>252</x:v>
      </x:c>
      <x:c r="F71">
        <x:v>62</x:v>
      </x:c>
      <x:c r="G71">
        <x:v>32</x:v>
      </x:c>
      <x:c r="H71">
        <x:v>26</x:v>
      </x:c>
      <x:c r="I71" s="21">
        <x:v>785</x:v>
      </x:c>
      <x:c r="J71" s="21">
        <x:v>491</x:v>
      </x:c>
      <x:c r="K71" s="21">
        <x:v>714</x:v>
      </x:c>
      <x:c r="L71" s="5">
        <x:f t="shared" si="14"/>
        <x:v>0.24603174603174602</x:v>
      </x:c>
      <x:c r="M71">
        <x:f t="shared" si="15"/>
        <x:v>190</x:v>
      </x:c>
      <x:c r="N71" s="5">
        <x:f t="shared" si="16"/>
        <x:v>0.23076923076923084</x:v>
      </x:c>
      <x:c r="O71" s="21">
        <x:f t="shared" si="17"/>
        <x:v>48670</x:v>
      </x:c>
      <x:c r="P71" s="21">
        <x:f t="shared" si="18"/>
        <x:v>18228</x:v>
      </x:c>
      <x:c r="Q71" s="5">
        <x:f t="shared" si="19"/>
        <x:v>9.9439775910364236E-2</x:v>
      </x:c>
      <x:c r="R71" t="str">
        <x:f t="shared" si="20"/>
        <x:v>Hold / monitor</x:v>
      </x:c>
    </x:row>
    <x:row r="72" ht="21" customHeight="1">
      <x:c r="A72" s="4">
        <x:v>46389</x:v>
      </x:c>
      <x:c r="B72" t="s">
        <x:v>18</x:v>
      </x:c>
      <x:c r="C72" t="s">
        <x:v>44</x:v>
      </x:c>
      <x:c r="D72">
        <x:v>84</x:v>
      </x:c>
      <x:c r="E72">
        <x:v>304</x:v>
      </x:c>
      <x:c r="F72">
        <x:v>54</x:v>
      </x:c>
      <x:c r="G72">
        <x:v>40</x:v>
      </x:c>
      <x:c r="H72">
        <x:v>32</x:v>
      </x:c>
      <x:c r="I72" s="21">
        <x:v>645</x:v>
      </x:c>
      <x:c r="J72" s="21">
        <x:v>372</x:v>
      </x:c>
      <x:c r="K72" s="21">
        <x:v>676</x:v>
      </x:c>
      <x:c r="L72" s="5">
        <x:f t="shared" si="14"/>
        <x:v>0.17763157894736842</x:v>
      </x:c>
      <x:c r="M72">
        <x:f t="shared" si="15"/>
        <x:v>250</x:v>
      </x:c>
      <x:c r="N72" s="5">
        <x:f t="shared" si="16"/>
        <x:v>0.25</x:v>
      </x:c>
      <x:c r="O72" s="21">
        <x:f t="shared" si="17"/>
        <x:v>34830</x:v>
      </x:c>
      <x:c r="P72" s="21">
        <x:f t="shared" si="18"/>
        <x:v>14742</x:v>
      </x:c>
      <x:c r="Q72" s="5">
        <x:f t="shared" si="19"/>
        <x:v>-4.585798816568043E-2</x:v>
      </x:c>
      <x:c r="R72" t="str">
        <x:f t="shared" si="20"/>
        <x:v>Hold / monitor</x:v>
      </x:c>
    </x:row>
    <x:row r="73" ht="21" customHeight="1">
      <x:c r="A73" s="4">
        <x:v>46389</x:v>
      </x:c>
      <x:c r="B73" t="s">
        <x:v>19</x:v>
      </x:c>
      <x:c r="C73" t="s">
        <x:v>43</x:v>
      </x:c>
      <x:c r="D73">
        <x:v>84</x:v>
      </x:c>
      <x:c r="E73">
        <x:v>286</x:v>
      </x:c>
      <x:c r="F73">
        <x:v>99</x:v>
      </x:c>
      <x:c r="G73">
        <x:v>29</x:v>
      </x:c>
      <x:c r="H73">
        <x:v>36</x:v>
      </x:c>
      <x:c r="I73" s="21">
        <x:v>610</x:v>
      </x:c>
      <x:c r="J73" s="21">
        <x:v>320</x:v>
      </x:c>
      <x:c r="K73" s="21">
        <x:v>576</x:v>
      </x:c>
      <x:c r="L73" s="5">
        <x:f t="shared" si="14"/>
        <x:v>0.34615384615384615</x:v>
      </x:c>
      <x:c r="M73">
        <x:f t="shared" si="15"/>
        <x:v>187</x:v>
      </x:c>
      <x:c r="N73" s="5">
        <x:f t="shared" si="16"/>
        <x:v>-0.19444444444444442</x:v>
      </x:c>
      <x:c r="O73" s="21">
        <x:f t="shared" si="17"/>
        <x:v>60390</x:v>
      </x:c>
      <x:c r="P73" s="21">
        <x:f t="shared" si="18"/>
        <x:v>28710</x:v>
      </x:c>
      <x:c r="Q73" s="5">
        <x:f t="shared" si="19"/>
        <x:v>5.9027777777777679E-2</x:v>
      </x:c>
      <x:c r="R73" t="str">
        <x:f t="shared" si="20"/>
        <x:v>Hold / monitor</x:v>
      </x:c>
    </x:row>
    <x:row r="74" ht="21" customHeight="1">
      <x:c r="A74" s="4">
        <x:v>46389</x:v>
      </x:c>
      <x:c r="B74" t="s">
        <x:v>20</x:v>
      </x:c>
      <x:c r="C74" t="s">
        <x:v>40</x:v>
      </x:c>
      <x:c r="D74">
        <x:v>84</x:v>
      </x:c>
      <x:c r="E74">
        <x:v>186</x:v>
      </x:c>
      <x:c r="F74">
        <x:v>33</x:v>
      </x:c>
      <x:c r="G74">
        <x:v>47</x:v>
      </x:c>
      <x:c r="H74">
        <x:v>42</x:v>
      </x:c>
      <x:c r="I74" s="21">
        <x:v>644</x:v>
      </x:c>
      <x:c r="J74" s="21">
        <x:v>461</x:v>
      </x:c>
      <x:c r="K74" s="21">
        <x:v>595</x:v>
      </x:c>
      <x:c r="L74" s="5">
        <x:f t="shared" si="14"/>
        <x:v>0.17741935483870969</x:v>
      </x:c>
      <x:c r="M74">
        <x:f t="shared" si="15"/>
        <x:v>153</x:v>
      </x:c>
      <x:c r="N74" s="5">
        <x:f t="shared" si="16"/>
        <x:v>0.11904761904761907</x:v>
      </x:c>
      <x:c r="O74" s="21">
        <x:f t="shared" si="17"/>
        <x:v>21252</x:v>
      </x:c>
      <x:c r="P74" s="21">
        <x:f t="shared" si="18"/>
        <x:v>6039</x:v>
      </x:c>
      <x:c r="Q74" s="5">
        <x:f t="shared" si="19"/>
        <x:v>8.2352941176470518E-2</x:v>
      </x:c>
      <x:c r="R74" t="str">
        <x:f t="shared" si="20"/>
        <x:v>Hold / monitor</x:v>
      </x:c>
    </x:row>
    <x:row r="75" ht="21" customHeight="1">
      <x:c r="A75" s="4">
        <x:v>46389</x:v>
      </x:c>
      <x:c r="B75" t="s">
        <x:v>21</x:v>
      </x:c>
      <x:c r="C75" t="s">
        <x:v>47</x:v>
      </x:c>
      <x:c r="D75">
        <x:v>84</x:v>
      </x:c>
      <x:c r="E75">
        <x:v>228</x:v>
      </x:c>
      <x:c r="F75">
        <x:v>64</x:v>
      </x:c>
      <x:c r="G75">
        <x:v>28</x:v>
      </x:c>
      <x:c r="H75">
        <x:v>28</x:v>
      </x:c>
      <x:c r="I75" s="21">
        <x:v>676</x:v>
      </x:c>
      <x:c r="J75" s="21">
        <x:v>406</x:v>
      </x:c>
      <x:c r="K75" s="21">
        <x:v>697</x:v>
      </x:c>
      <x:c r="L75" s="5">
        <x:f t="shared" si="14"/>
        <x:v>0.2807017543859649</x:v>
      </x:c>
      <x:c r="M75">
        <x:f t="shared" si="15"/>
        <x:v>164</x:v>
      </x:c>
      <x:c r="N75" s="5">
        <x:f t="shared" si="16"/>
        <x:v>0</x:v>
      </x:c>
      <x:c r="O75" s="21">
        <x:f t="shared" si="17"/>
        <x:v>43264</x:v>
      </x:c>
      <x:c r="P75" s="21">
        <x:f t="shared" si="18"/>
        <x:v>17280</x:v>
      </x:c>
      <x:c r="Q75" s="5">
        <x:f t="shared" si="19"/>
        <x:v>-3.0129124820659992E-2</x:v>
      </x:c>
      <x:c r="R75" t="str">
        <x:f t="shared" si="20"/>
        <x:v>Hold / monitor</x:v>
      </x:c>
    </x:row>
    <x:row r="76" ht="21" customHeight="1">
      <x:c r="A76" s="4">
        <x:v>46389</x:v>
      </x:c>
      <x:c r="B76" t="s">
        <x:v>22</x:v>
      </x:c>
      <x:c r="C76" t="s">
        <x:v>46</x:v>
      </x:c>
      <x:c r="D76">
        <x:v>84</x:v>
      </x:c>
      <x:c r="E76">
        <x:v>228</x:v>
      </x:c>
      <x:c r="F76">
        <x:v>99</x:v>
      </x:c>
      <x:c r="G76">
        <x:v>30</x:v>
      </x:c>
      <x:c r="H76">
        <x:v>25</x:v>
      </x:c>
      <x:c r="I76" s="21">
        <x:v>608</x:v>
      </x:c>
      <x:c r="J76" s="21">
        <x:v>386</x:v>
      </x:c>
      <x:c r="K76" s="21">
        <x:v>626</x:v>
      </x:c>
      <x:c r="L76" s="5">
        <x:f t="shared" si="14"/>
        <x:v>0.43421052631578949</x:v>
      </x:c>
      <x:c r="M76">
        <x:f t="shared" si="15"/>
        <x:v>129</x:v>
      </x:c>
      <x:c r="N76" s="5">
        <x:f t="shared" si="16"/>
        <x:v>0.19999999999999996</x:v>
      </x:c>
      <x:c r="O76" s="21">
        <x:f t="shared" si="17"/>
        <x:v>60192</x:v>
      </x:c>
      <x:c r="P76" s="21">
        <x:f t="shared" si="18"/>
        <x:v>21978</x:v>
      </x:c>
      <x:c r="Q76" s="5">
        <x:f t="shared" si="19"/>
        <x:v>-2.8753993610223683E-2</x:v>
      </x:c>
      <x:c r="R76" t="str">
        <x:f t="shared" si="20"/>
        <x:v>Hold / monitor</x:v>
      </x:c>
    </x:row>
  </x:sheetData>
  <x:mergeCells>
    <x:mergeCell ref="A1:R1"/>
    <x:mergeCell ref="A2:R2"/>
  </x:mergeCells>
  <x:conditionalFormatting sqref="L5:L76">
    <x:cfRule type="dataBar" priority="3">
      <x:dataBar>
        <x:cfvo type="min"/>
        <x:cfvo type="max"/>
        <x:color rgb="FF2585BD"/>
      </x:dataBar>
    </x:cfRule>
    <x:cfRule type="dataBar" priority="4">
      <x:dataBar>
        <x:cfvo type="min"/>
        <x:cfvo type="max"/>
        <x:color rgb="FF2585BD"/>
      </x:dataBar>
      <x:extLst>
        <x:ext xmlns:x14="http://schemas.microsoft.com/office/spreadsheetml/2009/9/main" uri="{B025F937-C7B1-47D3-B67F-A62EFF666E3E}">
          <x14:id>{CECF317F-0AD4-EE3E-BC94-B2D9F066AC3B}</x14:id>
        </x:ext>
      </x:extLst>
    </x:cfRule>
  </x:conditionalFormatting>
  <x:conditionalFormatting sqref="R5:R76">
    <x:cfRule type="expression" dxfId="6" priority="1">
      <x:formula>R5="Review increase"</x:formula>
    </x:cfRule>
    <x:cfRule type="expression" dxfId="5" priority="2">
      <x:formula>R5="Review decrease"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5d0bfda30f40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ECF317F-0AD4-EE3E-BC94-B2D9F066AC3B}">
            <x14:dataBar>
              <x14:cfvo type="min"/>
              <x14:cfvo type="max"/>
              <x14:fillColor rgb="FF2585BD"/>
              <x14:negativeFillColor auto="1"/>
              <x14:axisColor auto="1"/>
            </x14:dataBar>
          </x14:cfRule>
          <xm:sqref>L5:L76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4.25"/>
  <x:cols>
    <x:col min="1" max="1" width="23" customWidth="1"/>
    <x:col min="2" max="2" width="16" customWidth="1"/>
    <x:col min="3" max="7" width="19" customWidth="1"/>
    <x:col min="8" max="8" width="31" customWidth="1"/>
    <x:col min="9" max="13" width="12" customWidth="1"/>
  </x:cols>
  <x:sheetData>
    <x:row r="1" ht="36.95000076293945" customHeight="1">
      <x:c r="A1" s="23" t="s">
        <x:v>67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</x:row>
    <x:row r="2" ht="36.95000076293945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 ht="26.100000381469727" customHeight="1">
      <x:c r="A3" s="28" t="s">
        <x:v>68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5" ht="24.950000762939453" customHeight="1">
      <x:c r="A5" s="1" t="s">
        <x:v>69</x:v>
      </x:c>
      <x:c r="B5" s="1"/>
      <x:c r="C5" s="1"/>
      <x:c r="D5" s="1"/>
    </x:row>
    <x:row r="6" ht="24" customHeight="1">
      <x:c r="A6" s="6" t="s">
        <x:v>10</x:v>
      </x:c>
      <x:c r="B6" s="6"/>
      <x:c r="C6" t="str">
        <x:f>Bookings!B29</x:f>
        <x:v>Tenerife</x:v>
      </x:c>
      <x:c r="E6" s="29" t="s">
        <x:v>70</x:v>
      </x:c>
      <x:c r="F6" s="29"/>
      <x:c r="G6" s="29"/>
      <x:c r="H6" s="29"/>
      <x:c r="I6" s="29"/>
      <x:c r="J6" s="29"/>
      <x:c r="K6" s="29"/>
      <x:c r="L6" s="29"/>
      <x:c r="M6" s="29"/>
    </x:row>
    <x:row r="7" ht="24" customHeight="1">
      <x:c r="A7" s="6" t="s">
        <x:v>71</x:v>
      </x:c>
      <x:c r="B7" s="6"/>
      <x:c r="C7" s="4" t="n">
        <x:f>Bookings!A29</x:f>
        <x:v>46340</x:v>
      </x:c>
      <x:c r="E7" s="29"/>
      <x:c r="F7" s="29"/>
      <x:c r="G7" s="29"/>
      <x:c r="H7" s="29"/>
      <x:c r="I7" s="29"/>
      <x:c r="J7" s="29"/>
      <x:c r="K7" s="29"/>
      <x:c r="L7" s="29"/>
      <x:c r="M7" s="29"/>
    </x:row>
    <x:row r="8" ht="24" customHeight="1">
      <x:c r="A8" s="6" t="s">
        <x:v>72</x:v>
      </x:c>
      <x:c r="B8" s="6"/>
      <x:c r="C8" s="21" t="n">
        <x:f>Bookings!I29</x:f>
        <x:v>815</x:v>
      </x:c>
      <x:c r="E8" s="29"/>
      <x:c r="F8" s="29"/>
      <x:c r="G8" s="29"/>
      <x:c r="H8" s="29"/>
      <x:c r="I8" s="29"/>
      <x:c r="J8" s="29"/>
      <x:c r="K8" s="29"/>
      <x:c r="L8" s="29"/>
      <x:c r="M8" s="29"/>
    </x:row>
    <x:row r="9" ht="24" customHeight="1">
      <x:c r="A9" s="6" t="s">
        <x:v>73</x:v>
      </x:c>
      <x:c r="B9" s="6"/>
      <x:c r="C9" s="21" t="n">
        <x:f>Bookings!J29</x:f>
        <x:v>479</x:v>
      </x:c>
    </x:row>
    <x:row r="10" ht="24" customHeight="1">
      <x:c r="A10" s="6" t="s">
        <x:v>74</x:v>
      </x:c>
      <x:c r="B10" s="6"/>
      <x:c r="C10" t="n">
        <x:f>Bookings!G29</x:f>
        <x:v>26</x:v>
      </x:c>
    </x:row>
    <x:row r="11" ht="24" customHeight="1">
      <x:c r="A11" s="6" t="s">
        <x:v>34</x:v>
      </x:c>
      <x:c r="B11" s="6"/>
      <x:c r="C11" t="n">
        <x:f>Bookings!M29</x:f>
        <x:v>93</x:v>
      </x:c>
    </x:row>
    <x:row r="12" ht="24" customHeight="1">
      <x:c r="A12" s="6" t="s">
        <x:v>75</x:v>
      </x:c>
      <x:c r="B12" s="6"/>
      <x:c r="C12" s="21" t="n">
        <x:f>Bookings!K29</x:f>
        <x:v>758</x:v>
      </x:c>
    </x:row>
    <x:row r="13" ht="15">
      <x:c r="A13" t="s">
        <x:v>76</x:v>
      </x:c>
      <x:c r="C13" s="13">
        <x:v>-3</x:v>
      </x:c>
    </x:row>
    <x:row r="16" ht="24.950000762939453" customHeight="1">
      <x:c r="A16" s="1" t="s">
        <x:v>77</x:v>
      </x:c>
      <x:c r="B16" s="1"/>
      <x:c r="C16" s="1"/>
      <x:c r="D16" s="1"/>
      <x:c r="E16" s="1"/>
      <x:c r="F16" s="1"/>
      <x:c r="G16" s="1"/>
      <x:c r="H16" s="1"/>
    </x:row>
    <x:row r="17" ht="33.95000076293945" customHeight="1">
      <x:c r="A17" s="11" t="s">
        <x:v>78</x:v>
      </x:c>
      <x:c r="B17" s="11" t="s">
        <x:v>79</x:v>
      </x:c>
      <x:c r="C17" s="11" t="s">
        <x:v>80</x:v>
      </x:c>
      <x:c r="D17" s="11" t="s">
        <x:v>81</x:v>
      </x:c>
      <x:c r="E17" s="11" t="s">
        <x:v>82</x:v>
      </x:c>
      <x:c r="F17" s="11" t="s">
        <x:v>83</x:v>
      </x:c>
      <x:c r="G17" s="11" t="s">
        <x:v>84</x:v>
      </x:c>
      <x:c r="H17" s="11" t="s">
        <x:v>85</x:v>
      </x:c>
    </x:row>
    <x:row r="18">
      <x:c r="A18" s="14">
        <x:v>-0.05</x:v>
      </x:c>
      <x:c r="B18" s="21" t="n">
        <x:f>$C$8*(1+A18)</x:f>
        <x:v>774.25</x:v>
      </x:c>
      <x:c r="C18" s="15" t="n">
        <x:f>MIN($C$11,MAX(0,$C$10*(1+$C$13*A18)))</x:f>
        <x:v>29.9</x:v>
      </x:c>
      <x:c r="D18" s="21" t="n">
        <x:f>B18*C18</x:f>
        <x:v>23150.074999999997</x:v>
      </x:c>
      <x:c r="E18" s="21" t="n">
        <x:f>C18*(B18-$C$9)</x:f>
        <x:v>8827.975</x:v>
      </x:c>
      <x:c r="F18" s="21" t="n">
        <x:f>E18-$E$19</x:f>
        <x:v>91.97500000000036</x:v>
      </x:c>
      <x:c r="G18" s="5" t="n">
        <x:f>IFERROR(B18/$C$12-1,0)</x:f>
        <x:v>0.021437994722955045</x:v>
      </x:c>
      <x:c r="H18" t="s">
        <x:v>86</x:v>
      </x:c>
    </x:row>
    <x:row r="19">
      <x:c r="A19" s="16">
        <x:v>0</x:v>
      </x:c>
      <x:c r="B19" s="22" t="n">
        <x:f>$C$8*(1+A19)</x:f>
        <x:v>815</x:v>
      </x:c>
      <x:c r="C19" s="17" t="n">
        <x:f>MIN($C$11,MAX(0,$C$10*(1+$C$13*A19)))</x:f>
        <x:v>26</x:v>
      </x:c>
      <x:c r="D19" s="22" t="n">
        <x:f>B19*C19</x:f>
        <x:v>21190</x:v>
      </x:c>
      <x:c r="E19" s="22" t="n">
        <x:f>C19*(B19-$C$9)</x:f>
        <x:v>8736</x:v>
      </x:c>
      <x:c r="F19" s="22" t="n">
        <x:f>E19-$E$19</x:f>
        <x:v>0</x:v>
      </x:c>
      <x:c r="G19" s="18" t="n">
        <x:f>IFERROR(B19/$C$12-1,0)</x:f>
        <x:v>0.07519788918205794</x:v>
      </x:c>
      <x:c r="H19" s="19" t="s">
        <x:v>87</x:v>
      </x:c>
    </x:row>
    <x:row r="20">
      <x:c r="A20" s="14">
        <x:v>0.05</x:v>
      </x:c>
      <x:c r="B20" s="21" t="n">
        <x:f>$C$8*(1+A20)</x:f>
        <x:v>855.75</x:v>
      </x:c>
      <x:c r="C20" s="15" t="n">
        <x:f>MIN($C$11,MAX(0,$C$10*(1+$C$13*A20)))</x:f>
        <x:v>22.099999999999998</x:v>
      </x:c>
      <x:c r="D20" s="21" t="n">
        <x:f>B20*C20</x:f>
        <x:v>18912.074999999997</x:v>
      </x:c>
      <x:c r="E20" s="21" t="n">
        <x:f>C20*(B20-$C$9)</x:f>
        <x:v>8326.175</x:v>
      </x:c>
      <x:c r="F20" s="21" t="n">
        <x:f>E20-$E$19</x:f>
        <x:v>-409.8250000000007</x:v>
      </x:c>
      <x:c r="G20" s="5" t="n">
        <x:f>IFERROR(B20/$C$12-1,0)</x:f>
        <x:v>0.12895778364116084</x:v>
      </x:c>
      <x:c r="H20" t="s">
        <x:v>88</x:v>
      </x:c>
    </x:row>
    <x:row r="23">
      <x:c r="A23" s="30" t="s">
        <x:v>89</x:v>
      </x:c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</x:row>
  </x:sheetData>
  <x:mergeCells>
    <x:mergeCell ref="A1:M2"/>
    <x:mergeCell ref="A3:M3"/>
    <x:mergeCell ref="E6:M8"/>
    <x:mergeCell ref="A23:M25"/>
  </x:mergeCells>
  <x:pageMargins left="0.7" right="0.7" top="0.75" bottom="0.75" header="0.3" footer="0.3"/>
  <x:drawing xmlns:r="http://schemas.openxmlformats.org/officeDocument/2006/relationships" r:id="R7a5d1cbd91ed4254"/>
</x:worksheet>
</file>

<file path=xl/worksheets/sheet10.xml><?xml version="1.0" encoding="utf-8"?>
<x:worksheet xmlns:x="http://schemas.openxmlformats.org/spreadsheetml/2006/main">
  <x:sheetFormatPr defaultRowHeight="14.25"/>
  <x:cols>
    <x:col min="1" max="1" width="28" customWidth="1"/>
    <x:col min="2" max="4" width="17" customWidth="1"/>
    <x:col min="5" max="5" width="65" customWidth="1"/>
    <x:col min="6" max="11" width="11" customWidth="1"/>
  </x:cols>
  <x:sheetData>
    <x:row r="1" ht="36.95000076293945" customHeight="1">
      <x:c r="A1" s="172" t="str">
        <x:v>COMMERCIAL FINDINGS  |  SYNTHETIC CASE STUDY</x:v>
      </x:c>
      <x:c r="B1" s="172"/>
      <x:c r="C1" s="172"/>
      <x:c r="D1" s="172"/>
      <x:c r="E1" s="172"/>
      <x:c r="F1" s="23"/>
      <x:c r="G1" s="23"/>
      <x:c r="H1" s="23"/>
      <x:c r="I1" s="23"/>
      <x:c r="J1" s="23"/>
      <x:c r="K1" s="23"/>
    </x:row>
    <x:row r="2" ht="36.95000076293945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27" customHeight="1">
      <x:c r="A3" s="28" t="str">
        <x:v>Holiday-booking snapshot, 10 October 2026  •  All observations fictional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</x:row>
    <x:row r="5" ht="24.950000762939453" customHeight="1">
      <x:c r="A5" s="1" t="str">
        <x:v>EXECUTIVE SUMMARY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29" t="str">
        <x:v>Two destinations (Rome and Lisbon) meet the dashboard's illustrative dual threshold for review: below 50% load factor and booking growth below −10%. They should be investigated, not automatically discounted. Malaga is the only destination with growing weekly bookings, despite having the lowest utilisation.</x:v>
      </x:c>
      <x:c r="B6" s="29"/>
      <x:c r="C6" s="29"/>
      <x:c r="D6" s="29"/>
      <x:c r="E6" s="29"/>
      <x:c r="F6" s="29"/>
      <x:c r="G6" s="29"/>
      <x:c r="H6" s="29"/>
      <x:c r="I6" s="29"/>
      <x:c r="J6" s="29"/>
      <x:c r="K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</x:row>
    <x:row r="10" ht="24.950000762939453" customHeight="1">
      <x:c r="A10" s="1" t="str">
        <x:v>DEPARTURE-LEVEL CONSIDERATIONS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2" ht="24.950000762939453" customHeight="1">
      <x:c r="A12" s="10" t="s">
        <x:v>26</x:v>
      </x:c>
      <x:c r="B12" s="10" t="s">
        <x:v>12</x:v>
      </x:c>
      <x:c r="C12" s="10" t="s">
        <x:v>90</x:v>
      </x:c>
      <x:c r="D12" s="10" t="s">
        <x:v>84</x:v>
      </x:c>
      <x:c r="E12" s="10" t="s">
        <x:v>91</x:v>
      </x:c>
    </x:row>
    <x:row r="13" ht="44.099998474121094" customHeight="1">
      <x:c r="A13" t="str">
        <x:f>Bookings!B14&amp;" | "&amp;TEXT(Bookings!A14,"dd mmm")</x:f>
        <x:v>Antalya | 24 Oct</x:v>
      </x:c>
      <x:c r="B13" s="5" t="n">
        <x:f>Bookings!L14</x:f>
        <x:v>0.7993421052631579</x:v>
      </x:c>
      <x:c r="C13" s="5" t="n">
        <x:f>Bookings!N14</x:f>
        <x:v>0.25</x:v>
      </x:c>
      <x:c r="D13" s="5" t="n">
        <x:f>Bookings!Q14</x:f>
        <x:v>-0.08436724565756826</x:v>
      </x:c>
      <x:c r="E13" s="2" t="s">
        <x:v>92</x:v>
      </x:c>
    </x:row>
    <x:row r="14" ht="44.099998474121094" customHeight="1">
      <x:c r="A14" t="str">
        <x:f>Bookings!B5&amp;" | "&amp;TEXT(Bookings!A5,"dd mmm")</x:f>
        <x:v>Tenerife | 17 Oct</x:v>
      </x:c>
      <x:c r="B14" s="5" t="n">
        <x:f>Bookings!L5</x:f>
        <x:v>0.8986013986013986</x:v>
      </x:c>
      <x:c r="C14" s="5" t="n">
        <x:f>Bookings!N5</x:f>
        <x:v>0.25</x:v>
      </x:c>
      <x:c r="D14" s="5" t="n">
        <x:f>Bookings!Q5</x:f>
        <x:v>0.015580736543909346</x:v>
      </x:c>
      <x:c r="E14" s="2" t="s">
        <x:v>93</x:v>
      </x:c>
    </x:row>
    <x:row r="15" ht="44.099998474121094" customHeight="1">
      <x:c r="A15" t="str">
        <x:f>Bookings!B24&amp;" | "&amp;TEXT(Bookings!A24,"dd mmm")</x:f>
        <x:v>Malaga | 07 Nov</x:v>
      </x:c>
      <x:c r="B15" s="5" t="n">
        <x:f>Bookings!L24</x:f>
        <x:v>0.4880952380952381</x:v>
      </x:c>
      <x:c r="C15" s="5" t="n">
        <x:f>Bookings!N24</x:f>
        <x:v>0.04166666666666674</x:v>
      </x:c>
      <x:c r="D15" s="5" t="n">
        <x:f>Bookings!Q24</x:f>
        <x:v>-0.04179104477611939</x:v>
      </x:c>
      <x:c r="E15" s="2" t="s">
        <x:v>94</x:v>
      </x:c>
    </x:row>
    <x:row r="18" ht="24.950000762939453" customHeight="1">
      <x:c r="A18" s="1" t="s">
        <x:v>95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20" ht="30" customHeight="1">
      <x:c r="A20" s="6" t="s">
        <x:v>96</x:v>
      </x:c>
      <x:c r="B20" s="26" t="s">
        <x:v>97</x:v>
      </x:c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 ht="30" customHeight="1">
      <x:c r="A21" s="6" t="s">
        <x:v>98</x:v>
      </x:c>
      <x:c r="B21" s="26" t="s">
        <x:v>99</x:v>
      </x:c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 ht="30" customHeight="1">
      <x:c r="A22" s="6" t="s">
        <x:v>100</x:v>
      </x:c>
      <x:c r="B22" s="26" t="s">
        <x:v>101</x:v>
      </x:c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 ht="30" customHeight="1">
      <x:c r="A23" s="6" t="s">
        <x:v>102</x:v>
      </x:c>
      <x:c r="B23" s="26" t="s">
        <x:v>103</x:v>
      </x:c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6" ht="24.950000762939453" customHeight="1">
      <x:c r="A26" s="1" t="str">
        <x:v>PRICING SCENARIO AND DECISION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31" t="str">
        <x:v>Example: 20 packages at £800 with £500 variable cost generate £6,000 contribution. A 5% discount to £760 with 22 bookings generates £5,720. Holding the original price produces £280 more contribution under these assumptions.</x:v>
      </x:c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</x:row>
    <x:row r="29">
      <x:c r="A29" s="31" t="str">
        <x:v>SUMMARY OF ANALYTICAL APPROACH</x:v>
      </x:c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</x:row>
    <x:row r="30">
      <x:c r="A30" s="31" t="str">
        <x:v>Combined PivotTable summaries with XLOOKUP to build a dashboard. Used load factor, booking momentum, review flags and competitor price comparisons to investigate where further pricing analysis could be useful.</x:v>
      </x:c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</x:row>
    <x:row r="32">
      <x:c r="A32" s="32" t="str">
        <x:v>Limitations: all prices, seat data and costs are synthetic. No real-world demand elasticity or causality has been established; departure dates, package comparability and variable costs require further validation.</x:v>
      </x:c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</x:sheetData>
  <x:mergeCells>
    <x:mergeCell ref="B22:K22"/>
    <x:mergeCell ref="B23:K23"/>
    <x:mergeCell ref="A27:K30"/>
    <x:mergeCell ref="A32:K34"/>
    <x:mergeCell ref="A1:K2"/>
    <x:mergeCell ref="A3:K3"/>
    <x:mergeCell ref="A6:K8"/>
    <x:mergeCell ref="B20:K20"/>
    <x:mergeCell ref="B21:K21"/>
  </x:mergeCells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6243be6170d145d7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3156d38c4a5846d8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6243be6170d145d7" refreshedBy="Admin" refreshedDate="46305.97473981482" createdVersion="8" refreshedVersion="8" minRefreshableVersion="3" recordCount="72">
  <x:cacheSource type="worksheet">
    <x:worksheetSource name="SyntheticBookingSnapshot"/>
  </x:cacheSource>
  <x:cacheFields count="18">
    <x:cacheField name="Departure" numFmtId="164">
      <x:sharedItems containsSemiMixedTypes="0" containsNonDate="0" containsDate="1" containsString="0" minDate="2026-10-17T00:00:00Z" maxDate="2027-01-03T00:00:00Z" count="12">
        <x:d v="2026-10-17T00:00:00Z"/>
        <x:d v="2026-10-24T00:00:00Z"/>
        <x:d v="2026-10-31T00:00:00Z"/>
        <x:d v="2026-11-07T00:00:00Z"/>
        <x:d v="2026-11-14T00:00:00Z"/>
        <x:d v="2026-11-21T00:00:00Z"/>
        <x:d v="2026-11-28T00:00:00Z"/>
        <x:d v="2026-12-05T00:00:00Z"/>
        <x:d v="2026-12-12T00:00:00Z"/>
        <x:d v="2026-12-19T00:00:00Z"/>
        <x:d v="2026-12-26T00:00:00Z"/>
        <x:d v="2027-01-02T00:00:00Z"/>
      </x:sharedItems>
    </x:cacheField>
    <x:cacheField name="Destination" numFmtId="0">
      <x:sharedItems count="6">
        <x:s v="Tenerife"/>
        <x:s v="Malaga"/>
        <x:s v="Lisbon"/>
        <x:s v="Antalya"/>
        <x:s v="Rome"/>
        <x:s v="Marrakech"/>
      </x:sharedItems>
    </x:cacheField>
    <x:cacheField name="Region" numFmtId="0">
      <x:sharedItems/>
    </x:cacheField>
    <x:cacheField name="Days to depart" numFmtId="0">
      <x:sharedItems containsSemiMixedTypes="0" containsString="0" containsNumber="1" containsInteger="1" minValue="7" maxValue="84"/>
    </x:cacheField>
    <x:cacheField name="Seat capacity" numFmtId="0">
      <x:sharedItems containsSemiMixedTypes="0" containsString="0" containsNumber="1" containsInteger="1" minValue="168" maxValue="304" count="7">
        <x:n v="286"/>
        <x:n v="186"/>
        <x:n v="214"/>
        <x:n v="168"/>
        <x:n v="304"/>
        <x:n v="252"/>
        <x:n v="228"/>
      </x:sharedItems>
    </x:cacheField>
    <x:cacheField name="Seats sold" numFmtId="0">
      <x:sharedItems containsSemiMixedTypes="0" containsString="0" containsNumber="1" containsInteger="1" minValue="33" maxValue="257" count="56">
        <x:n v="257"/>
        <x:n v="256"/>
        <x:n v="140"/>
        <x:n v="175"/>
        <x:n v="171"/>
        <x:n v="109"/>
        <x:n v="120"/>
        <x:n v="161"/>
        <x:n v="219"/>
        <x:n v="243"/>
        <x:n v="119"/>
        <x:n v="194"/>
        <x:n v="173"/>
        <x:n v="211"/>
        <x:n v="145"/>
        <x:n v="186"/>
        <x:n v="235"/>
        <x:n v="149"/>
        <x:n v="82"/>
        <x:n v="152"/>
        <x:n v="191"/>
        <x:n v="126"/>
        <x:n v="135"/>
        <x:n v="114"/>
        <x:n v="146"/>
        <x:n v="156"/>
        <x:n v="111"/>
        <x:n v="122"/>
        <x:n v="141"/>
        <x:n v="134"/>
        <x:n v="151"/>
        <x:n v="105"/>
        <x:n v="101"/>
        <x:n v="96"/>
        <x:n v="117"/>
        <x:n v="205"/>
        <x:n v="85"/>
        <x:n v="52"/>
        <x:n v="116"/>
        <x:n v="59"/>
        <x:n v="107"/>
        <x:n v="142"/>
        <x:n v="90"/>
        <x:n v="49"/>
        <x:n v="70"/>
        <x:n v="36"/>
        <x:n v="66"/>
        <x:n v="131"/>
        <x:n v="79"/>
        <x:n v="46"/>
        <x:n v="41"/>
        <x:n v="62"/>
        <x:n v="54"/>
        <x:n v="99"/>
        <x:n v="33"/>
        <x:n v="64"/>
      </x:sharedItems>
    </x:cacheField>
    <x:cacheField name="Last 7d bookings" numFmtId="0">
      <x:sharedItems containsSemiMixedTypes="0" containsString="0" containsNumber="1" containsInteger="1" minValue="9" maxValue="70"/>
    </x:cacheField>
    <x:cacheField name="Prior 7d bookings" numFmtId="0">
      <x:sharedItems containsSemiMixedTypes="0" containsString="0" containsNumber="1" containsInteger="1" minValue="10" maxValue="83"/>
    </x:cacheField>
    <x:cacheField name="Package price (£)" numFmtId="170">
      <x:sharedItems containsSemiMixedTypes="0" containsString="0" containsNumber="1" containsInteger="1" minValue="481" maxValue="817"/>
    </x:cacheField>
    <x:cacheField name="Var. cost (£)" numFmtId="170">
      <x:sharedItems containsSemiMixedTypes="0" containsString="0" containsNumber="1" containsInteger="1" minValue="317" maxValue="491"/>
    </x:cacheField>
    <x:cacheField name="Competitor (£)" numFmtId="170">
      <x:sharedItems containsSemiMixedTypes="0" containsString="0" containsNumber="1" containsInteger="1" minValue="468" maxValue="842"/>
    </x:cacheField>
    <x:cacheField name="Load factor" numFmtId="165">
      <x:sharedItems containsSemiMixedTypes="0" containsString="0" containsNumber="1" minValue="0.15789473684210525" maxValue="0.8986013986013986"/>
    </x:cacheField>
    <x:cacheField name="Seats remaining" numFmtId="0">
      <x:sharedItems containsSemiMixedTypes="0" containsString="0" containsNumber="1" containsInteger="1" minValue="19" maxValue="255"/>
    </x:cacheField>
    <x:cacheField name="Booking momentum" numFmtId="165">
      <x:sharedItems containsSemiMixedTypes="0" containsString="0" containsNumber="1" minValue="-0.3589743589743589" maxValue="0.42307692307692313"/>
    </x:cacheField>
    <x:cacheField name="Booked revenue (£)" numFmtId="170">
      <x:sharedItems containsSemiMixedTypes="0" containsString="0" containsNumber="1" containsInteger="1" minValue="21240" maxValue="184269" count="72">
        <x:n v="184269"/>
        <x:n v="149248"/>
        <x:n v="68320"/>
        <x:n v="128975"/>
        <x:n v="95076"/>
        <x:n v="57770"/>
        <x:n v="88080"/>
        <x:n v="86135"/>
        <x:n v="123516"/>
        <x:n v="179334"/>
        <x:n v="69258"/>
        <x:n v="108252"/>
        <x:n v="117121"/>
        <x:n v="73542"/>
        <x:n v="117949"/>
        <x:n v="106430"/>
        <x:n v="124434"/>
        <x:n v="141940"/>
        <x:n v="97297"/>
        <x:n v="52644"/>
        <x:n v="86488"/>
        <x:n v="111492"/>
        <x:n v="126442"/>
        <x:n v="83538"/>
        <x:n v="110025"/>
        <x:n v="72618"/>
        <x:n v="70226"/>
        <x:n v="106080"/>
        <x:n v="63159"/>
        <x:n v="74786"/>
        <x:n v="114351"/>
        <x:n v="68058"/>
        <x:n v="79515"/>
        <x:n v="99294"/>
        <x:n v="83956"/>
        <x:n v="52234"/>
        <x:n v="80430"/>
        <x:n v="94780"/>
        <x:n v="62216"/>
        <x:n v="59520"/>
        <x:n v="76869"/>
        <x:n v="128330"/>
        <x:n v="69445"/>
        <x:n v="31512"/>
        <x:n v="60436"/>
        <x:n v="44073"/>
        <x:n v="69768"/>
        <x:n v="58743"/>
        <x:n v="110476"/>
        <x:n v="53550"/>
        <x:n v="30282"/>
        <x:n v="87188"/>
        <x:n v="76826"/>
        <x:n v="47460"/>
        <x:n v="76266"/>
        <x:n v="21240"/>
        <x:n v="34782"/>
        <x:n v="73920"/>
        <x:n v="34633"/>
        <x:n v="80041"/>
        <x:n v="50955"/>
        <x:n v="30038"/>
        <x:n v="24598"/>
        <x:n v="28382"/>
        <x:n v="24928"/>
        <x:n v="30919"/>
        <x:n v="48670"/>
        <x:n v="34830"/>
        <x:n v="60390"/>
        <x:n v="21252"/>
        <x:n v="43264"/>
        <x:n v="60192"/>
      </x:sharedItems>
    </x:cacheField>
    <x:cacheField name="Booked contribution (£)" numFmtId="170">
      <x:sharedItems containsSemiMixedTypes="0" containsString="0" containsNumber="1" containsInteger="1" minValue="6039" maxValue="68769"/>
    </x:cacheField>
    <x:cacheField name="Price vs market" numFmtId="165">
      <x:sharedItems containsSemiMixedTypes="0" containsString="0" containsNumber="1" minValue="-0.1049046321525886" maxValue="0.13411078717201175"/>
    </x:cacheField>
    <x:cacheField name="Review signal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3156d38c4a5846d8" refreshedBy="Admin" refreshedDate="46305.98519629629" createdVersion="8" refreshedVersion="8" minRefreshableVersion="3" recordCount="72">
  <x:cacheSource type="worksheet">
    <x:worksheetSource name="Table2"/>
  </x:cacheSource>
  <x:cacheFields count="18">
    <x:cacheField name="Departure" numFmtId="14">
      <x:sharedItems containsSemiMixedTypes="0" containsNonDate="0" containsDate="1" containsString="0" minDate="2026-10-17T00:00:00Z" maxDate="2027-01-03T00:00:00Z"/>
    </x:cacheField>
    <x:cacheField name="Destination" numFmtId="0">
      <x:sharedItems count="7">
        <x:s v="Antalya"/>
        <x:s v="Lisbon"/>
        <x:s v="Malaga"/>
        <x:s v="Marrakech"/>
        <x:s v="Rome"/>
        <x:s v="Tenerife"/>
        <x:s v="Formula1"/>
      </x:sharedItems>
    </x:cacheField>
    <x:cacheField name="Region" numFmtId="0">
      <x:sharedItems/>
    </x:cacheField>
    <x:cacheField name="Days to depart" numFmtId="0">
      <x:sharedItems containsSemiMixedTypes="0" containsString="0" containsNumber="1" containsInteger="1" minValue="7" maxValue="84"/>
    </x:cacheField>
    <x:cacheField name="Seat capacity" numFmtId="0">
      <x:sharedItems containsSemiMixedTypes="0" containsString="0" containsNumber="1" containsInteger="1" minValue="168" maxValue="304"/>
    </x:cacheField>
    <x:cacheField name="Seats sold" numFmtId="0">
      <x:sharedItems containsSemiMixedTypes="0" containsString="0" containsNumber="1" containsInteger="1" minValue="33" maxValue="257"/>
    </x:cacheField>
    <x:cacheField name="Last 7d bookings" numFmtId="0">
      <x:sharedItems containsSemiMixedTypes="0" containsString="0" containsNumber="1" containsInteger="1" minValue="9" maxValue="70"/>
    </x:cacheField>
    <x:cacheField name="Prior 7d bookings" numFmtId="0">
      <x:sharedItems containsSemiMixedTypes="0" containsString="0" containsNumber="1" containsInteger="1" minValue="10" maxValue="83"/>
    </x:cacheField>
    <x:cacheField name="Package price (£)" numFmtId="0">
      <x:sharedItems containsSemiMixedTypes="0" containsString="0" containsNumber="1" containsInteger="1" minValue="481" maxValue="817"/>
    </x:cacheField>
    <x:cacheField name="Var. cost (£)" numFmtId="0">
      <x:sharedItems containsSemiMixedTypes="0" containsString="0" containsNumber="1" containsInteger="1" minValue="317" maxValue="491"/>
    </x:cacheField>
    <x:cacheField name="Competitor (£)" numFmtId="0">
      <x:sharedItems containsSemiMixedTypes="0" containsString="0" containsNumber="1" containsInteger="1" minValue="468" maxValue="842"/>
    </x:cacheField>
    <x:cacheField name="Load factor" numFmtId="0">
      <x:sharedItems containsSemiMixedTypes="0" containsString="0" containsNumber="1" minValue="0.15789473684210525" maxValue="0.8986013986013986"/>
    </x:cacheField>
    <x:cacheField name="Seats remaining" numFmtId="0">
      <x:sharedItems containsSemiMixedTypes="0" containsString="0" containsNumber="1" containsInteger="1" minValue="19" maxValue="255"/>
    </x:cacheField>
    <x:cacheField name="Booking momentum" numFmtId="0">
      <x:sharedItems containsSemiMixedTypes="0" containsString="0" containsNumber="1" minValue="-0.3589743589743589" maxValue="0.42307692307692313"/>
    </x:cacheField>
    <x:cacheField name="Booked revenue (£)" numFmtId="0">
      <x:sharedItems containsSemiMixedTypes="0" containsString="0" containsNumber="1" containsInteger="1" minValue="21240" maxValue="184269"/>
    </x:cacheField>
    <x:cacheField name="Booked contribution (£)" numFmtId="0">
      <x:sharedItems containsSemiMixedTypes="0" containsString="0" containsNumber="1" containsInteger="1" minValue="6039" maxValue="68769"/>
    </x:cacheField>
    <x:cacheField name="Price vs market" numFmtId="0">
      <x:sharedItems containsSemiMixedTypes="0" containsString="0" containsNumber="1" minValue="-0.1049046321525886" maxValue="0.13411078717201175"/>
    </x:cacheField>
    <x:cacheField name="Review signal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72">
  <x:r>
    <x:x v="0"/>
    <x:x v="0"/>
    <x:s v="Canaries"/>
    <x:n v="7"/>
    <x:x v="0"/>
    <x:x v="0"/>
    <x:n v="15"/>
    <x:n v="12"/>
    <x:n v="717"/>
    <x:n v="462"/>
    <x:n v="706"/>
    <x:n v="0.8986013986013986"/>
    <x:n v="29"/>
    <x:n v="0.25"/>
    <x:x v="0"/>
    <x:n v="65535"/>
    <x:n v="0.015580736543909346"/>
    <x:s v="Review increase"/>
  </x:r>
  <x:r>
    <x:x v="0"/>
    <x:x v="1"/>
    <x:s v="Spain"/>
    <x:n v="7"/>
    <x:x v="0"/>
    <x:x v="1"/>
    <x:n v="15"/>
    <x:n v="17"/>
    <x:n v="583"/>
    <x:n v="381"/>
    <x:n v="594"/>
    <x:n v="0.8951048951048951"/>
    <x:n v="30"/>
    <x:n v="-0.11764705882352944"/>
    <x:x v="1"/>
    <x:n v="51712"/>
    <x:n v="-0.01851851851851849"/>
    <x:s v="Hold / monitor"/>
  </x:r>
  <x:r>
    <x:x v="0"/>
    <x:x v="2"/>
    <x:s v="Portugal"/>
    <x:n v="7"/>
    <x:x v="1"/>
    <x:x v="2"/>
    <x:n v="20"/>
    <x:n v="20"/>
    <x:n v="488"/>
    <x:n v="333"/>
    <x:n v="494"/>
    <x:n v="0.7526881720430108"/>
    <x:n v="46"/>
    <x:n v="0"/>
    <x:x v="2"/>
    <x:n v="21700"/>
    <x:n v="-0.012145748987854255"/>
    <x:s v="Hold / monitor"/>
  </x:r>
  <x:r>
    <x:x v="0"/>
    <x:x v="3"/>
    <x:s v="Türkiye"/>
    <x:n v="7"/>
    <x:x v="2"/>
    <x:x v="3"/>
    <x:n v="12"/>
    <x:n v="14"/>
    <x:n v="737"/>
    <x:n v="461"/>
    <x:n v="788"/>
    <x:n v="0.8177570093457944"/>
    <x:n v="39"/>
    <x:n v="-0.1428571428571429"/>
    <x:x v="3"/>
    <x:n v="48300"/>
    <x:n v="-0.06472081218274117"/>
    <x:s v="Hold / monitor"/>
  </x:r>
  <x:r>
    <x:x v="0"/>
    <x:x v="4"/>
    <x:s v="Italy"/>
    <x:n v="7"/>
    <x:x v="0"/>
    <x:x v="4"/>
    <x:n v="31"/>
    <x:n v="40"/>
    <x:n v="556"/>
    <x:n v="408"/>
    <x:n v="613"/>
    <x:n v="0.5979020979020979"/>
    <x:n v="115"/>
    <x:n v="-0.22499999999999998"/>
    <x:x v="4"/>
    <x:n v="25308"/>
    <x:n v="-0.09298531810766719"/>
    <x:s v="Hold / monitor"/>
  </x:r>
  <x:r>
    <x:x v="0"/>
    <x:x v="5"/>
    <x:s v="Morocco"/>
    <x:n v="7"/>
    <x:x v="3"/>
    <x:x v="5"/>
    <x:n v="18"/>
    <x:n v="21"/>
    <x:n v="530"/>
    <x:n v="392"/>
    <x:n v="495"/>
    <x:n v="0.6488095238095238"/>
    <x:n v="59"/>
    <x:n v="-0.1428571428571429"/>
    <x:x v="5"/>
    <x:n v="15042"/>
    <x:n v="0.07070707070707072"/>
    <x:s v="Hold / monitor"/>
  </x:r>
  <x:r>
    <x:x v="1"/>
    <x:x v="0"/>
    <x:s v="Canaries"/>
    <x:n v="14"/>
    <x:x v="3"/>
    <x:x v="6"/>
    <x:n v="11"/>
    <x:n v="10"/>
    <x:n v="734"/>
    <x:n v="464"/>
    <x:n v="671"/>
    <x:n v="0.7142857142857143"/>
    <x:n v="48"/>
    <x:n v="0.10000000000000009"/>
    <x:x v="6"/>
    <x:n v="32400"/>
    <x:n v="0.0938897168405366"/>
    <x:s v="Hold / monitor"/>
  </x:r>
  <x:r>
    <x:x v="1"/>
    <x:x v="1"/>
    <x:s v="Spain"/>
    <x:n v="14"/>
    <x:x v="0"/>
    <x:x v="7"/>
    <x:n v="28"/>
    <x:n v="21"/>
    <x:n v="535"/>
    <x:n v="367"/>
    <x:n v="565"/>
    <x:n v="0.5629370629370629"/>
    <x:n v="125"/>
    <x:n v="0.33333333333333326"/>
    <x:x v="7"/>
    <x:n v="27048"/>
    <x:n v="-0.053097345132743334"/>
    <x:s v="Hold / monitor"/>
  </x:r>
  <x:r>
    <x:x v="1"/>
    <x:x v="2"/>
    <x:s v="Portugal"/>
    <x:n v="14"/>
    <x:x v="4"/>
    <x:x v="8"/>
    <x:n v="13"/>
    <x:n v="10"/>
    <x:n v="564"/>
    <x:n v="319"/>
    <x:n v="614"/>
    <x:n v="0.7203947368421053"/>
    <x:n v="85"/>
    <x:n v="0.30000000000000004"/>
    <x:x v="8"/>
    <x:n v="53655"/>
    <x:n v="-0.08143322475570036"/>
    <x:s v="Hold / monitor"/>
  </x:r>
  <x:r>
    <x:x v="1"/>
    <x:x v="3"/>
    <x:s v="Türkiye"/>
    <x:n v="14"/>
    <x:x v="4"/>
    <x:x v="9"/>
    <x:n v="15"/>
    <x:n v="12"/>
    <x:n v="738"/>
    <x:n v="455"/>
    <x:n v="806"/>
    <x:n v="0.7993421052631579"/>
    <x:n v="61"/>
    <x:n v="0.25"/>
    <x:x v="9"/>
    <x:n v="68769"/>
    <x:n v="-0.08436724565756826"/>
    <x:s v="Review increase"/>
  </x:r>
  <x:r>
    <x:x v="1"/>
    <x:x v="4"/>
    <x:s v="Italy"/>
    <x:n v="14"/>
    <x:x v="2"/>
    <x:x v="10"/>
    <x:n v="22"/>
    <x:n v="25"/>
    <x:n v="582"/>
    <x:n v="403"/>
    <x:n v="599"/>
    <x:n v="0.5560747663551402"/>
    <x:n v="95"/>
    <x:n v="-0.12"/>
    <x:x v="10"/>
    <x:n v="21301"/>
    <x:n v="-0.028380634390651083"/>
    <x:s v="Hold / monitor"/>
  </x:r>
  <x:r>
    <x:x v="1"/>
    <x:x v="5"/>
    <x:s v="Morocco"/>
    <x:n v="14"/>
    <x:x v="5"/>
    <x:x v="11"/>
    <x:n v="12"/>
    <x:n v="16"/>
    <x:n v="558"/>
    <x:n v="359"/>
    <x:n v="599"/>
    <x:n v="0.7698412698412699"/>
    <x:n v="58"/>
    <x:n v="-0.25"/>
    <x:x v="11"/>
    <x:n v="38606"/>
    <x:n v="-0.06844741235392315"/>
    <x:s v="Hold / monitor"/>
  </x:r>
  <x:r>
    <x:x v="2"/>
    <x:x v="0"/>
    <x:s v="Canaries"/>
    <x:n v="21"/>
    <x:x v="2"/>
    <x:x v="12"/>
    <x:n v="14"/>
    <x:n v="17"/>
    <x:n v="677"/>
    <x:n v="467"/>
    <x:n v="631"/>
    <x:n v="0.8084112149532711"/>
    <x:n v="41"/>
    <x:n v="-0.17647058823529416"/>
    <x:x v="12"/>
    <x:n v="36330"/>
    <x:n v="0.07290015847860531"/>
    <x:s v="Hold / monitor"/>
  </x:r>
  <x:r>
    <x:x v="2"/>
    <x:x v="1"/>
    <x:s v="Spain"/>
    <x:n v="21"/>
    <x:x v="1"/>
    <x:x v="10"/>
    <x:n v="23"/>
    <x:n v="20"/>
    <x:n v="618"/>
    <x:n v="345"/>
    <x:n v="638"/>
    <x:n v="0.6397849462365591"/>
    <x:n v="67"/>
    <x:n v="0.1499999999999999"/>
    <x:x v="13"/>
    <x:n v="32487"/>
    <x:n v="-0.031347962382445194"/>
    <x:s v="Hold / monitor"/>
  </x:r>
  <x:r>
    <x:x v="2"/>
    <x:x v="2"/>
    <x:s v="Portugal"/>
    <x:n v="21"/>
    <x:x v="5"/>
    <x:x v="13"/>
    <x:n v="14"/>
    <x:n v="11"/>
    <x:n v="559"/>
    <x:n v="334"/>
    <x:n v="504"/>
    <x:n v="0.8373015873015873"/>
    <x:n v="41"/>
    <x:n v="0.2727272727272727"/>
    <x:x v="14"/>
    <x:n v="47475"/>
    <x:n v="0.10912698412698418"/>
    <x:s v="Review increase"/>
  </x:r>
  <x:r>
    <x:x v="2"/>
    <x:x v="3"/>
    <x:s v="Türkiye"/>
    <x:n v="21"/>
    <x:x v="1"/>
    <x:x v="14"/>
    <x:n v="20"/>
    <x:n v="21"/>
    <x:n v="734"/>
    <x:n v="442"/>
    <x:n v="744"/>
    <x:n v="0.7795698924731183"/>
    <x:n v="41"/>
    <x:n v="-0.04761904761904767"/>
    <x:x v="15"/>
    <x:n v="42340"/>
    <x:n v="-0.013440860215053752"/>
    <x:s v="Hold / monitor"/>
  </x:r>
  <x:r>
    <x:x v="2"/>
    <x:x v="4"/>
    <x:s v="Italy"/>
    <x:n v="21"/>
    <x:x v="0"/>
    <x:x v="15"/>
    <x:n v="30"/>
    <x:n v="44"/>
    <x:n v="669"/>
    <x:n v="392"/>
    <x:n v="591"/>
    <x:n v="0.6503496503496503"/>
    <x:n v="100"/>
    <x:n v="-0.31818181818181823"/>
    <x:x v="16"/>
    <x:n v="51522"/>
    <x:n v="0.13197969543147203"/>
    <x:s v="Hold / monitor"/>
  </x:r>
  <x:r>
    <x:x v="2"/>
    <x:x v="5"/>
    <x:s v="Morocco"/>
    <x:n v="21"/>
    <x:x v="4"/>
    <x:x v="16"/>
    <x:n v="21"/>
    <x:n v="16"/>
    <x:n v="604"/>
    <x:n v="391"/>
    <x:n v="547"/>
    <x:n v="0.7730263157894737"/>
    <x:n v="69"/>
    <x:n v="0.3125"/>
    <x:x v="17"/>
    <x:n v="50055"/>
    <x:n v="0.1042047531992687"/>
    <x:s v="Review increase"/>
  </x:r>
  <x:r>
    <x:x v="3"/>
    <x:x v="0"/>
    <x:s v="Canaries"/>
    <x:n v="28"/>
    <x:x v="3"/>
    <x:x v="17"/>
    <x:n v="13"/>
    <x:n v="13"/>
    <x:n v="653"/>
    <x:n v="477"/>
    <x:n v="638"/>
    <x:n v="0.8869047619047619"/>
    <x:n v="19"/>
    <x:n v="0"/>
    <x:x v="18"/>
    <x:n v="26224"/>
    <x:n v="0.023510971786833812"/>
    <x:s v="Hold / monitor"/>
  </x:r>
  <x:r>
    <x:x v="3"/>
    <x:x v="1"/>
    <x:s v="Spain"/>
    <x:n v="28"/>
    <x:x v="3"/>
    <x:x v="18"/>
    <x:n v="25"/>
    <x:n v="24"/>
    <x:n v="642"/>
    <x:n v="359"/>
    <x:n v="670"/>
    <x:n v="0.4880952380952381"/>
    <x:n v="86"/>
    <x:n v="0.04166666666666674"/>
    <x:x v="19"/>
    <x:n v="23206"/>
    <x:n v="-0.04179104477611939"/>
    <x:s v="Review decrease"/>
  </x:r>
  <x:r>
    <x:x v="3"/>
    <x:x v="2"/>
    <x:s v="Portugal"/>
    <x:n v="28"/>
    <x:x v="1"/>
    <x:x v="19"/>
    <x:n v="9"/>
    <x:n v="10"/>
    <x:n v="569"/>
    <x:n v="331"/>
    <x:n v="577"/>
    <x:n v="0.8172043010752689"/>
    <x:n v="34"/>
    <x:n v="-0.09999999999999998"/>
    <x:x v="20"/>
    <x:n v="36176"/>
    <x:n v="-0.013864818024263426"/>
    <x:s v="Hold / monitor"/>
  </x:r>
  <x:r>
    <x:x v="3"/>
    <x:x v="3"/>
    <x:s v="Türkiye"/>
    <x:n v="28"/>
    <x:x v="4"/>
    <x:x v="4"/>
    <x:n v="33"/>
    <x:n v="34"/>
    <x:n v="652"/>
    <x:n v="459"/>
    <x:n v="589"/>
    <x:n v="0.5625"/>
    <x:n v="133"/>
    <x:n v="-0.02941176470588236"/>
    <x:x v="21"/>
    <x:n v="33003"/>
    <x:n v="0.1069609507640068"/>
    <x:s v="Hold / monitor"/>
  </x:r>
  <x:r>
    <x:x v="3"/>
    <x:x v="4"/>
    <x:s v="Italy"/>
    <x:n v="28"/>
    <x:x v="5"/>
    <x:x v="20"/>
    <x:n v="18"/>
    <x:n v="24"/>
    <x:n v="662"/>
    <x:n v="376"/>
    <x:n v="731"/>
    <x:n v="0.7579365079365079"/>
    <x:n v="61"/>
    <x:n v="-0.25"/>
    <x:x v="22"/>
    <x:n v="54626"/>
    <x:n v="-0.09439124487004102"/>
    <x:s v="Hold / monitor"/>
  </x:r>
  <x:r>
    <x:x v="3"/>
    <x:x v="5"/>
    <x:s v="Morocco"/>
    <x:n v="28"/>
    <x:x v="6"/>
    <x:x v="21"/>
    <x:n v="31"/>
    <x:n v="42"/>
    <x:n v="663"/>
    <x:n v="383"/>
    <x:n v="704"/>
    <x:n v="0.5526315789473685"/>
    <x:n v="102"/>
    <x:n v="-0.26190476190476186"/>
    <x:x v="23"/>
    <x:n v="35280"/>
    <x:n v="-0.058238636363636354"/>
    <x:s v="Hold / monitor"/>
  </x:r>
  <x:r>
    <x:x v="4"/>
    <x:x v="0"/>
    <x:s v="Canaries"/>
    <x:n v="35"/>
    <x:x v="6"/>
    <x:x v="22"/>
    <x:n v="26"/>
    <x:n v="21"/>
    <x:n v="815"/>
    <x:n v="479"/>
    <x:n v="758"/>
    <x:n v="0.5921052631578947"/>
    <x:n v="93"/>
    <x:n v="0.23809523809523814"/>
    <x:x v="24"/>
    <x:n v="45360"/>
    <x:n v="0.07519788918205794"/>
    <x:s v="Hold / monitor"/>
  </x:r>
  <x:r>
    <x:x v="4"/>
    <x:x v="1"/>
    <x:s v="Spain"/>
    <x:n v="35"/>
    <x:x v="6"/>
    <x:x v="23"/>
    <x:n v="31"/>
    <x:n v="40"/>
    <x:n v="637"/>
    <x:n v="363"/>
    <x:n v="654"/>
    <x:n v="0.5"/>
    <x:n v="114"/>
    <x:n v="-0.22499999999999998"/>
    <x:x v="25"/>
    <x:n v="31236"/>
    <x:n v="-0.025993883792048922"/>
    <x:s v="Hold / monitor"/>
  </x:r>
  <x:r>
    <x:x v="4"/>
    <x:x v="2"/>
    <x:s v="Portugal"/>
    <x:n v="35"/>
    <x:x v="0"/>
    <x:x v="24"/>
    <x:n v="25"/>
    <x:n v="38"/>
    <x:n v="481"/>
    <x:n v="320"/>
    <x:n v="518"/>
    <x:n v="0.5104895104895105"/>
    <x:n v="140"/>
    <x:n v="-0.3421052631578947"/>
    <x:x v="26"/>
    <x:n v="23506"/>
    <x:n v="-0.0714285714285714"/>
    <x:s v="Hold / monitor"/>
  </x:r>
  <x:r>
    <x:x v="4"/>
    <x:x v="3"/>
    <x:s v="Türkiye"/>
    <x:n v="35"/>
    <x:x v="0"/>
    <x:x v="25"/>
    <x:n v="32"/>
    <x:n v="28"/>
    <x:n v="680"/>
    <x:n v="422"/>
    <x:n v="646"/>
    <x:n v="0.5454545454545454"/>
    <x:n v="130"/>
    <x:n v="0.1428571428571428"/>
    <x:x v="27"/>
    <x:n v="40248"/>
    <x:n v="0.05263157894736836"/>
    <x:s v="Hold / monitor"/>
  </x:r>
  <x:r>
    <x:x v="4"/>
    <x:x v="4"/>
    <x:s v="Italy"/>
    <x:n v="35"/>
    <x:x v="1"/>
    <x:x v="26"/>
    <x:n v="21"/>
    <x:n v="32"/>
    <x:n v="569"/>
    <x:n v="411"/>
    <x:n v="527"/>
    <x:n v="0.5967741935483871"/>
    <x:n v="75"/>
    <x:n v="-0.34375"/>
    <x:x v="28"/>
    <x:n v="17538"/>
    <x:n v="0.07969639468690692"/>
    <x:s v="Hold / monitor"/>
  </x:r>
  <x:r>
    <x:x v="4"/>
    <x:x v="5"/>
    <x:s v="Morocco"/>
    <x:n v="35"/>
    <x:x v="1"/>
    <x:x v="27"/>
    <x:n v="28"/>
    <x:n v="25"/>
    <x:n v="613"/>
    <x:n v="383"/>
    <x:n v="624"/>
    <x:n v="0.6559139784946236"/>
    <x:n v="64"/>
    <x:n v="0.1200000000000001"/>
    <x:x v="29"/>
    <x:n v="28060"/>
    <x:n v="-0.017628205128205177"/>
    <x:s v="Hold / monitor"/>
  </x:r>
  <x:r>
    <x:x v="5"/>
    <x:x v="0"/>
    <x:s v="Canaries"/>
    <x:n v="42"/>
    <x:x v="1"/>
    <x:x v="28"/>
    <x:n v="16"/>
    <x:n v="19"/>
    <x:n v="811"/>
    <x:n v="468"/>
    <x:n v="842"/>
    <x:n v="0.7580645161290323"/>
    <x:n v="45"/>
    <x:n v="-0.1578947368421053"/>
    <x:x v="30"/>
    <x:n v="48363"/>
    <x:n v="-0.03681710213776723"/>
    <x:s v="Hold / monitor"/>
  </x:r>
  <x:r>
    <x:x v="5"/>
    <x:x v="1"/>
    <x:s v="Spain"/>
    <x:n v="42"/>
    <x:x v="2"/>
    <x:x v="23"/>
    <x:n v="28"/>
    <x:n v="32"/>
    <x:n v="597"/>
    <x:n v="361"/>
    <x:n v="571"/>
    <x:n v="0.5327102803738317"/>
    <x:n v="100"/>
    <x:n v="-0.125"/>
    <x:x v="31"/>
    <x:n v="26904"/>
    <x:n v="0.04553415061295962"/>
    <x:s v="Hold / monitor"/>
  </x:r>
  <x:r>
    <x:x v="5"/>
    <x:x v="2"/>
    <x:s v="Portugal"/>
    <x:n v="42"/>
    <x:x v="0"/>
    <x:x v="22"/>
    <x:n v="25"/>
    <x:n v="39"/>
    <x:n v="589"/>
    <x:n v="333"/>
    <x:n v="656"/>
    <x:n v="0.47202797202797203"/>
    <x:n v="151"/>
    <x:n v="-0.3589743589743589"/>
    <x:x v="32"/>
    <x:n v="34560"/>
    <x:n v="-0.10213414634146345"/>
    <x:s v="Hold / monitor"/>
  </x:r>
  <x:r>
    <x:x v="5"/>
    <x:x v="3"/>
    <x:s v="Türkiye"/>
    <x:n v="42"/>
    <x:x v="5"/>
    <x:x v="29"/>
    <x:n v="37"/>
    <x:n v="26"/>
    <x:n v="741"/>
    <x:n v="459"/>
    <x:n v="800"/>
    <x:n v="0.5317460317460317"/>
    <x:n v="118"/>
    <x:n v="0.42307692307692313"/>
    <x:x v="33"/>
    <x:n v="37788"/>
    <x:n v="-0.07374999999999998"/>
    <x:s v="Hold / monitor"/>
  </x:r>
  <x:r>
    <x:x v="5"/>
    <x:x v="4"/>
    <x:s v="Italy"/>
    <x:n v="42"/>
    <x:x v="2"/>
    <x:x v="30"/>
    <x:n v="10"/>
    <x:n v="15"/>
    <x:n v="556"/>
    <x:n v="410"/>
    <x:n v="534"/>
    <x:n v="0.705607476635514"/>
    <x:n v="63"/>
    <x:n v="-0.33333333333333337"/>
    <x:x v="34"/>
    <x:n v="22046"/>
    <x:n v="0.04119850187265928"/>
    <x:s v="Hold / monitor"/>
  </x:r>
  <x:r>
    <x:x v="5"/>
    <x:x v="5"/>
    <x:s v="Morocco"/>
    <x:n v="42"/>
    <x:x v="3"/>
    <x:x v="18"/>
    <x:n v="21"/>
    <x:n v="26"/>
    <x:n v="637"/>
    <x:n v="380"/>
    <x:n v="685"/>
    <x:n v="0.4880952380952381"/>
    <x:n v="86"/>
    <x:n v="-0.1923076923076923"/>
    <x:x v="35"/>
    <x:n v="21074"/>
    <x:n v="-0.07007299270072997"/>
    <x:s v="Hold / monitor"/>
  </x:r>
  <x:r>
    <x:x v="6"/>
    <x:x v="0"/>
    <x:s v="Canaries"/>
    <x:n v="49"/>
    <x:x v="1"/>
    <x:x v="31"/>
    <x:n v="27"/>
    <x:n v="41"/>
    <x:n v="766"/>
    <x:n v="456"/>
    <x:n v="681"/>
    <x:n v="0.5645161290322581"/>
    <x:n v="81"/>
    <x:n v="-0.3414634146341463"/>
    <x:x v="36"/>
    <x:n v="32550"/>
    <x:n v="0.12481644640234957"/>
    <x:s v="Hold / monitor"/>
  </x:r>
  <x:r>
    <x:x v="6"/>
    <x:x v="1"/>
    <x:s v="Spain"/>
    <x:n v="49"/>
    <x:x v="5"/>
    <x:x v="2"/>
    <x:n v="20"/>
    <x:n v="29"/>
    <x:n v="677"/>
    <x:n v="373"/>
    <x:n v="605"/>
    <x:n v="0.5555555555555556"/>
    <x:n v="112"/>
    <x:n v="-0.31034482758620685"/>
    <x:x v="37"/>
    <x:n v="42560"/>
    <x:n v="0.11900826446280988"/>
    <x:s v="Hold / monitor"/>
  </x:r>
  <x:r>
    <x:x v="6"/>
    <x:x v="2"/>
    <x:s v="Portugal"/>
    <x:n v="49"/>
    <x:x v="6"/>
    <x:x v="32"/>
    <x:n v="34"/>
    <x:n v="31"/>
    <x:n v="616"/>
    <x:n v="317"/>
    <x:n v="586"/>
    <x:n v="0.44298245614035087"/>
    <x:n v="127"/>
    <x:n v="0.09677419354838701"/>
    <x:x v="38"/>
    <x:n v="30199"/>
    <x:n v="0.05119453924914685"/>
    <x:s v="Hold / monitor"/>
  </x:r>
  <x:r>
    <x:x v="6"/>
    <x:x v="3"/>
    <x:s v="Türkiye"/>
    <x:n v="49"/>
    <x:x v="3"/>
    <x:x v="33"/>
    <x:n v="26"/>
    <x:n v="19"/>
    <x:n v="620"/>
    <x:n v="440"/>
    <x:n v="622"/>
    <x:n v="0.5714285714285714"/>
    <x:n v="72"/>
    <x:n v="0.368421052631579"/>
    <x:x v="39"/>
    <x:n v="17280"/>
    <x:n v="-0.003215434083601254"/>
    <x:s v="Hold / monitor"/>
  </x:r>
  <x:r>
    <x:x v="6"/>
    <x:x v="4"/>
    <x:s v="Italy"/>
    <x:n v="49"/>
    <x:x v="4"/>
    <x:x v="34"/>
    <x:n v="55"/>
    <x:n v="71"/>
    <x:n v="657"/>
    <x:n v="413"/>
    <x:n v="734"/>
    <x:n v="0.3848684210526316"/>
    <x:n v="187"/>
    <x:n v="-0.22535211267605637"/>
    <x:x v="40"/>
    <x:n v="28548"/>
    <x:n v="-0.1049046321525886"/>
    <x:s v="Hold / monitor"/>
  </x:r>
  <x:r>
    <x:x v="6"/>
    <x:x v="5"/>
    <x:s v="Morocco"/>
    <x:n v="49"/>
    <x:x v="4"/>
    <x:x v="35"/>
    <x:n v="17"/>
    <x:n v="17"/>
    <x:n v="626"/>
    <x:n v="396"/>
    <x:n v="553"/>
    <x:n v="0.6743421052631579"/>
    <x:n v="99"/>
    <x:n v="0"/>
    <x:x v="41"/>
    <x:n v="47150"/>
    <x:n v="0.13200723327305597"/>
    <x:s v="Hold / monitor"/>
  </x:r>
  <x:r>
    <x:x v="7"/>
    <x:x v="0"/>
    <x:s v="Canaries"/>
    <x:n v="56"/>
    <x:x v="6"/>
    <x:x v="36"/>
    <x:n v="36"/>
    <x:n v="32"/>
    <x:n v="817"/>
    <x:n v="480"/>
    <x:n v="787"/>
    <x:n v="0.37280701754385964"/>
    <x:n v="143"/>
    <x:n v="0.125"/>
    <x:x v="42"/>
    <x:n v="28645"/>
    <x:n v="0.03811944091486663"/>
    <x:s v="Hold / monitor"/>
  </x:r>
  <x:r>
    <x:x v="7"/>
    <x:x v="1"/>
    <x:s v="Spain"/>
    <x:n v="56"/>
    <x:x v="1"/>
    <x:x v="37"/>
    <x:n v="40"/>
    <x:n v="29"/>
    <x:n v="606"/>
    <x:n v="367"/>
    <x:n v="650"/>
    <x:n v="0.27956989247311825"/>
    <x:n v="134"/>
    <x:n v="0.3793103448275863"/>
    <x:x v="43"/>
    <x:n v="12428"/>
    <x:n v="-0.06769230769230772"/>
    <x:s v="Hold / monitor"/>
  </x:r>
  <x:r>
    <x:x v="7"/>
    <x:x v="2"/>
    <x:s v="Portugal"/>
    <x:n v="56"/>
    <x:x v="2"/>
    <x:x v="38"/>
    <x:n v="24"/>
    <x:n v="24"/>
    <x:n v="521"/>
    <x:n v="327"/>
    <x:n v="488"/>
    <x:n v="0.5420560747663551"/>
    <x:n v="98"/>
    <x:n v="0"/>
    <x:x v="44"/>
    <x:n v="22504"/>
    <x:n v="0.06762295081967218"/>
    <x:s v="Hold / monitor"/>
  </x:r>
  <x:r>
    <x:x v="7"/>
    <x:x v="3"/>
    <x:s v="Türkiye"/>
    <x:n v="56"/>
    <x:x v="1"/>
    <x:x v="39"/>
    <x:n v="18"/>
    <x:n v="20"/>
    <x:n v="747"/>
    <x:n v="428"/>
    <x:n v="778"/>
    <x:n v="0.3172043010752688"/>
    <x:n v="127"/>
    <x:n v="-0.09999999999999998"/>
    <x:x v="45"/>
    <x:n v="18821"/>
    <x:n v="-0.03984575835475579"/>
    <x:s v="Hold / monitor"/>
  </x:r>
  <x:r>
    <x:x v="7"/>
    <x:x v="4"/>
    <x:s v="Italy"/>
    <x:n v="56"/>
    <x:x v="0"/>
    <x:x v="23"/>
    <x:n v="42"/>
    <x:n v="45"/>
    <x:n v="612"/>
    <x:n v="391"/>
    <x:n v="583"/>
    <x:n v="0.3986013986013986"/>
    <x:n v="172"/>
    <x:n v="-0.06666666666666665"/>
    <x:x v="46"/>
    <x:n v="25194"/>
    <x:n v="0.0497427101200687"/>
    <x:s v="Hold / monitor"/>
  </x:r>
  <x:r>
    <x:x v="7"/>
    <x:x v="5"/>
    <x:s v="Morocco"/>
    <x:n v="56"/>
    <x:x v="1"/>
    <x:x v="40"/>
    <x:n v="17"/>
    <x:n v="20"/>
    <x:n v="549"/>
    <x:n v="394"/>
    <x:n v="537"/>
    <x:n v="0.5752688172043011"/>
    <x:n v="79"/>
    <x:n v="-0.15000000000000002"/>
    <x:x v="47"/>
    <x:n v="16585"/>
    <x:n v="0.022346368715083775"/>
    <x:s v="Hold / monitor"/>
  </x:r>
  <x:r>
    <x:x v="8"/>
    <x:x v="0"/>
    <x:s v="Canaries"/>
    <x:n v="63"/>
    <x:x v="0"/>
    <x:x v="41"/>
    <x:n v="25"/>
    <x:n v="34"/>
    <x:n v="778"/>
    <x:n v="480"/>
    <x:n v="686"/>
    <x:n v="0.4965034965034965"/>
    <x:n v="144"/>
    <x:n v="-0.2647058823529411"/>
    <x:x v="48"/>
    <x:n v="42316"/>
    <x:n v="0.13411078717201175"/>
    <x:s v="Hold / monitor"/>
  </x:r>
  <x:r>
    <x:x v="8"/>
    <x:x v="1"/>
    <x:s v="Spain"/>
    <x:n v="63"/>
    <x:x v="0"/>
    <x:x v="42"/>
    <x:n v="34"/>
    <x:n v="35"/>
    <x:n v="595"/>
    <x:n v="372"/>
    <x:n v="562"/>
    <x:n v="0.3146853146853147"/>
    <x:n v="196"/>
    <x:n v="-0.02857142857142858"/>
    <x:x v="49"/>
    <x:n v="20070"/>
    <x:n v="0.0587188612099645"/>
    <x:s v="Hold / monitor"/>
  </x:r>
  <x:r>
    <x:x v="8"/>
    <x:x v="2"/>
    <x:s v="Portugal"/>
    <x:n v="63"/>
    <x:x v="1"/>
    <x:x v="43"/>
    <x:n v="27"/>
    <x:n v="36"/>
    <x:n v="618"/>
    <x:n v="332"/>
    <x:n v="605"/>
    <x:n v="0.26344086021505375"/>
    <x:n v="137"/>
    <x:n v="-0.25"/>
    <x:x v="50"/>
    <x:n v="14014"/>
    <x:n v="0.02148760330578514"/>
    <x:s v="Hold / monitor"/>
  </x:r>
  <x:r>
    <x:x v="8"/>
    <x:x v="3"/>
    <x:s v="Türkiye"/>
    <x:n v="63"/>
    <x:x v="0"/>
    <x:x v="41"/>
    <x:n v="38"/>
    <x:n v="35"/>
    <x:n v="614"/>
    <x:n v="430"/>
    <x:n v="552"/>
    <x:n v="0.4965034965034965"/>
    <x:n v="144"/>
    <x:n v="0.08571428571428563"/>
    <x:x v="51"/>
    <x:n v="26128"/>
    <x:n v="0.1123188405797102"/>
    <x:s v="Hold / monitor"/>
  </x:r>
  <x:r>
    <x:x v="8"/>
    <x:x v="4"/>
    <x:s v="Italy"/>
    <x:n v="63"/>
    <x:x v="2"/>
    <x:x v="40"/>
    <x:n v="15"/>
    <x:n v="15"/>
    <x:n v="718"/>
    <x:n v="403"/>
    <x:n v="688"/>
    <x:n v="0.5"/>
    <x:n v="107"/>
    <x:n v="0"/>
    <x:x v="52"/>
    <x:n v="33705"/>
    <x:n v="0.043604651162790775"/>
    <x:s v="Hold / monitor"/>
  </x:r>
  <x:r>
    <x:x v="8"/>
    <x:x v="5"/>
    <x:s v="Morocco"/>
    <x:n v="63"/>
    <x:x v="5"/>
    <x:x v="44"/>
    <x:n v="31"/>
    <x:n v="43"/>
    <x:n v="678"/>
    <x:n v="378"/>
    <x:n v="667"/>
    <x:n v="0.2777777777777778"/>
    <x:n v="182"/>
    <x:n v="-0.2790697674418605"/>
    <x:x v="53"/>
    <x:n v="21000"/>
    <x:n v="0.016491754122938573"/>
    <x:s v="Hold / monitor"/>
  </x:r>
  <x:r>
    <x:x v="9"/>
    <x:x v="0"/>
    <x:s v="Canaries"/>
    <x:n v="70"/>
    <x:x v="0"/>
    <x:x v="23"/>
    <x:n v="35"/>
    <x:n v="30"/>
    <x:n v="669"/>
    <x:n v="483"/>
    <x:n v="611"/>
    <x:n v="0.3986013986013986"/>
    <x:n v="172"/>
    <x:n v="0.16666666666666674"/>
    <x:x v="54"/>
    <x:n v="21204"/>
    <x:n v="0.09492635024549911"/>
    <x:s v="Hold / monitor"/>
  </x:r>
  <x:r>
    <x:x v="9"/>
    <x:x v="1"/>
    <x:s v="Spain"/>
    <x:n v="70"/>
    <x:x v="6"/>
    <x:x v="45"/>
    <x:n v="50"/>
    <x:n v="53"/>
    <x:n v="590"/>
    <x:n v="356"/>
    <x:n v="569"/>
    <x:n v="0.15789473684210525"/>
    <x:n v="192"/>
    <x:n v="-0.05660377358490565"/>
    <x:x v="55"/>
    <x:n v="8424"/>
    <x:n v="0.03690685413005279"/>
    <x:s v="Hold / monitor"/>
  </x:r>
  <x:r>
    <x:x v="9"/>
    <x:x v="2"/>
    <x:s v="Portugal"/>
    <x:n v="70"/>
    <x:x v="5"/>
    <x:x v="46"/>
    <x:n v="32"/>
    <x:n v="23"/>
    <x:n v="527"/>
    <x:n v="341"/>
    <x:n v="468"/>
    <x:n v="0.2619047619047619"/>
    <x:n v="186"/>
    <x:n v="0.3913043478260869"/>
    <x:x v="56"/>
    <x:n v="12276"/>
    <x:n v="0.12606837606837606"/>
    <x:s v="Hold / monitor"/>
  </x:r>
  <x:r>
    <x:x v="9"/>
    <x:x v="3"/>
    <x:s v="Türkiye"/>
    <x:n v="70"/>
    <x:x v="0"/>
    <x:x v="6"/>
    <x:n v="30"/>
    <x:n v="44"/>
    <x:n v="616"/>
    <x:n v="448"/>
    <x:n v="586"/>
    <x:n v="0.4195804195804196"/>
    <x:n v="166"/>
    <x:n v="-0.31818181818181823"/>
    <x:x v="57"/>
    <x:n v="20160"/>
    <x:n v="0.05119453924914685"/>
    <x:s v="Hold / monitor"/>
  </x:r>
  <x:r>
    <x:x v="9"/>
    <x:x v="4"/>
    <x:s v="Italy"/>
    <x:n v="70"/>
    <x:x v="1"/>
    <x:x v="39"/>
    <x:n v="31"/>
    <x:n v="30"/>
    <x:n v="587"/>
    <x:n v="399"/>
    <x:n v="527"/>
    <x:n v="0.3172043010752688"/>
    <x:n v="127"/>
    <x:n v="0.03333333333333344"/>
    <x:x v="58"/>
    <x:n v="11092"/>
    <x:n v="0.1138519924098671"/>
    <x:s v="Hold / monitor"/>
  </x:r>
  <x:r>
    <x:x v="9"/>
    <x:x v="5"/>
    <x:s v="Morocco"/>
    <x:n v="70"/>
    <x:x v="0"/>
    <x:x v="47"/>
    <x:n v="22"/>
    <x:n v="20"/>
    <x:n v="611"/>
    <x:n v="378"/>
    <x:n v="588"/>
    <x:n v="0.458041958041958"/>
    <x:n v="155"/>
    <x:n v="0.10000000000000009"/>
    <x:x v="59"/>
    <x:n v="30523"/>
    <x:n v="0.03911564625850339"/>
    <x:s v="Hold / monitor"/>
  </x:r>
  <x:r>
    <x:x v="10"/>
    <x:x v="0"/>
    <x:s v="Canaries"/>
    <x:n v="77"/>
    <x:x v="2"/>
    <x:x v="48"/>
    <x:n v="26"/>
    <x:n v="38"/>
    <x:n v="645"/>
    <x:n v="485"/>
    <x:n v="633"/>
    <x:n v="0.3691588785046729"/>
    <x:n v="135"/>
    <x:n v="-0.3157894736842105"/>
    <x:x v="60"/>
    <x:n v="12640"/>
    <x:n v="0.018957345971563955"/>
    <x:s v="Hold / monitor"/>
  </x:r>
  <x:r>
    <x:x v="10"/>
    <x:x v="1"/>
    <x:s v="Spain"/>
    <x:n v="77"/>
    <x:x v="0"/>
    <x:x v="49"/>
    <x:n v="69"/>
    <x:n v="52"/>
    <x:n v="653"/>
    <x:n v="361"/>
    <x:n v="641"/>
    <x:n v="0.16083916083916083"/>
    <x:n v="240"/>
    <x:n v="0.32692307692307687"/>
    <x:x v="61"/>
    <x:n v="13432"/>
    <x:n v="0.018720748829953227"/>
    <x:s v="Hold / monitor"/>
  </x:r>
  <x:r>
    <x:x v="10"/>
    <x:x v="2"/>
    <x:s v="Portugal"/>
    <x:n v="77"/>
    <x:x v="4"/>
    <x:x v="43"/>
    <x:n v="54"/>
    <x:n v="81"/>
    <x:n v="502"/>
    <x:n v="342"/>
    <x:n v="521"/>
    <x:n v="0.1611842105263158"/>
    <x:n v="255"/>
    <x:n v="-0.33333333333333337"/>
    <x:x v="62"/>
    <x:n v="7840"/>
    <x:n v="-0.03646833013435702"/>
    <x:s v="Hold / monitor"/>
  </x:r>
  <x:r>
    <x:x v="10"/>
    <x:x v="3"/>
    <x:s v="Türkiye"/>
    <x:n v="77"/>
    <x:x v="0"/>
    <x:x v="49"/>
    <x:n v="68"/>
    <x:n v="83"/>
    <x:n v="617"/>
    <x:n v="417"/>
    <x:n v="604"/>
    <x:n v="0.16083916083916083"/>
    <x:n v="240"/>
    <x:n v="-0.1807228915662651"/>
    <x:x v="63"/>
    <x:n v="9200"/>
    <x:n v="0.021523178807947074"/>
    <x:s v="Hold / monitor"/>
  </x:r>
  <x:r>
    <x:x v="10"/>
    <x:x v="4"/>
    <x:s v="Italy"/>
    <x:n v="77"/>
    <x:x v="5"/>
    <x:x v="50"/>
    <x:n v="43"/>
    <x:n v="65"/>
    <x:n v="608"/>
    <x:n v="378"/>
    <x:n v="632"/>
    <x:n v="0.1626984126984127"/>
    <x:n v="211"/>
    <x:n v="-0.3384615384615385"/>
    <x:x v="64"/>
    <x:n v="9430"/>
    <x:n v="-0.03797468354430378"/>
    <x:s v="Hold / monitor"/>
  </x:r>
  <x:r>
    <x:x v="10"/>
    <x:x v="5"/>
    <x:s v="Morocco"/>
    <x:n v="77"/>
    <x:x v="4"/>
    <x:x v="43"/>
    <x:n v="70"/>
    <x:n v="61"/>
    <x:n v="631"/>
    <x:n v="372"/>
    <x:n v="627"/>
    <x:n v="0.1611842105263158"/>
    <x:n v="255"/>
    <x:n v="0.14754098360655732"/>
    <x:x v="65"/>
    <x:n v="12691"/>
    <x:n v="0.006379585326953707"/>
    <x:s v="Hold / monitor"/>
  </x:r>
  <x:r>
    <x:x v="11"/>
    <x:x v="0"/>
    <x:s v="Canaries"/>
    <x:n v="84"/>
    <x:x v="5"/>
    <x:x v="51"/>
    <x:n v="32"/>
    <x:n v="26"/>
    <x:n v="785"/>
    <x:n v="491"/>
    <x:n v="714"/>
    <x:n v="0.24603174603174602"/>
    <x:n v="190"/>
    <x:n v="0.23076923076923084"/>
    <x:x v="66"/>
    <x:n v="18228"/>
    <x:n v="0.09943977591036424"/>
    <x:s v="Hold / monitor"/>
  </x:r>
  <x:r>
    <x:x v="11"/>
    <x:x v="1"/>
    <x:s v="Spain"/>
    <x:n v="84"/>
    <x:x v="4"/>
    <x:x v="52"/>
    <x:n v="40"/>
    <x:n v="32"/>
    <x:n v="645"/>
    <x:n v="372"/>
    <x:n v="676"/>
    <x:n v="0.17763157894736842"/>
    <x:n v="250"/>
    <x:n v="0.25"/>
    <x:x v="67"/>
    <x:n v="14742"/>
    <x:n v="-0.04585798816568043"/>
    <x:s v="Hold / monitor"/>
  </x:r>
  <x:r>
    <x:x v="11"/>
    <x:x v="2"/>
    <x:s v="Portugal"/>
    <x:n v="84"/>
    <x:x v="0"/>
    <x:x v="53"/>
    <x:n v="29"/>
    <x:n v="36"/>
    <x:n v="610"/>
    <x:n v="320"/>
    <x:n v="576"/>
    <x:n v="0.34615384615384615"/>
    <x:n v="187"/>
    <x:n v="-0.19444444444444442"/>
    <x:x v="68"/>
    <x:n v="28710"/>
    <x:n v="0.05902777777777768"/>
    <x:s v="Hold / monitor"/>
  </x:r>
  <x:r>
    <x:x v="11"/>
    <x:x v="3"/>
    <x:s v="Türkiye"/>
    <x:n v="84"/>
    <x:x v="1"/>
    <x:x v="54"/>
    <x:n v="47"/>
    <x:n v="42"/>
    <x:n v="644"/>
    <x:n v="461"/>
    <x:n v="595"/>
    <x:n v="0.1774193548387097"/>
    <x:n v="153"/>
    <x:n v="0.11904761904761907"/>
    <x:x v="69"/>
    <x:n v="6039"/>
    <x:n v="0.08235294117647052"/>
    <x:s v="Hold / monitor"/>
  </x:r>
  <x:r>
    <x:x v="11"/>
    <x:x v="4"/>
    <x:s v="Italy"/>
    <x:n v="84"/>
    <x:x v="6"/>
    <x:x v="55"/>
    <x:n v="28"/>
    <x:n v="28"/>
    <x:n v="676"/>
    <x:n v="406"/>
    <x:n v="697"/>
    <x:n v="0.2807017543859649"/>
    <x:n v="164"/>
    <x:n v="0"/>
    <x:x v="70"/>
    <x:n v="17280"/>
    <x:n v="-0.03012912482065999"/>
    <x:s v="Hold / monitor"/>
  </x:r>
  <x:r>
    <x:x v="11"/>
    <x:x v="5"/>
    <x:s v="Morocco"/>
    <x:n v="84"/>
    <x:x v="6"/>
    <x:x v="53"/>
    <x:n v="30"/>
    <x:n v="25"/>
    <x:n v="608"/>
    <x:n v="386"/>
    <x:n v="626"/>
    <x:n v="0.4342105263157895"/>
    <x:n v="129"/>
    <x:n v="0.19999999999999996"/>
    <x:x v="71"/>
    <x:n v="21978"/>
    <x:n v="-0.028753993610223683"/>
    <x:s v="Hold / monitor"/>
  </x:r>
</x:pivotCacheRecords>
</file>

<file path=pivotCache/pivotCacheRecords2.xml><?xml version="1.0" encoding="utf-8"?>
<x:pivotCacheRecords xmlns:x="http://schemas.openxmlformats.org/spreadsheetml/2006/main" count="72">
  <x:r>
    <x:d v="2026-10-17T00:00:00Z"/>
    <x:x v="0"/>
    <x:s v="Türkiye"/>
    <x:n v="7"/>
    <x:n v="214"/>
    <x:n v="175"/>
    <x:n v="12"/>
    <x:n v="14"/>
    <x:n v="737"/>
    <x:n v="461"/>
    <x:n v="788"/>
    <x:n v="0.8177570093457944"/>
    <x:n v="39"/>
    <x:n v="-0.1428571428571429"/>
    <x:n v="128975"/>
    <x:n v="48300"/>
    <x:n v="-0.06472081218274117"/>
    <x:s v="Hold / monitor"/>
  </x:r>
  <x:r>
    <x:d v="2026-10-24T00:00:00Z"/>
    <x:x v="0"/>
    <x:s v="Türkiye"/>
    <x:n v="14"/>
    <x:n v="304"/>
    <x:n v="243"/>
    <x:n v="15"/>
    <x:n v="12"/>
    <x:n v="738"/>
    <x:n v="455"/>
    <x:n v="806"/>
    <x:n v="0.7993421052631579"/>
    <x:n v="61"/>
    <x:n v="0.25"/>
    <x:n v="179334"/>
    <x:n v="68769"/>
    <x:n v="-0.08436724565756826"/>
    <x:s v="Review increase"/>
  </x:r>
  <x:r>
    <x:d v="2026-10-31T00:00:00Z"/>
    <x:x v="0"/>
    <x:s v="Türkiye"/>
    <x:n v="21"/>
    <x:n v="186"/>
    <x:n v="145"/>
    <x:n v="20"/>
    <x:n v="21"/>
    <x:n v="734"/>
    <x:n v="442"/>
    <x:n v="744"/>
    <x:n v="0.7795698924731183"/>
    <x:n v="41"/>
    <x:n v="-0.04761904761904767"/>
    <x:n v="106430"/>
    <x:n v="42340"/>
    <x:n v="-0.013440860215053752"/>
    <x:s v="Hold / monitor"/>
  </x:r>
  <x:r>
    <x:d v="2026-11-07T00:00:00Z"/>
    <x:x v="0"/>
    <x:s v="Türkiye"/>
    <x:n v="28"/>
    <x:n v="304"/>
    <x:n v="171"/>
    <x:n v="33"/>
    <x:n v="34"/>
    <x:n v="652"/>
    <x:n v="459"/>
    <x:n v="589"/>
    <x:n v="0.5625"/>
    <x:n v="133"/>
    <x:n v="-0.02941176470588236"/>
    <x:n v="111492"/>
    <x:n v="33003"/>
    <x:n v="0.1069609507640068"/>
    <x:s v="Hold / monitor"/>
  </x:r>
  <x:r>
    <x:d v="2026-11-14T00:00:00Z"/>
    <x:x v="0"/>
    <x:s v="Türkiye"/>
    <x:n v="35"/>
    <x:n v="286"/>
    <x:n v="156"/>
    <x:n v="32"/>
    <x:n v="28"/>
    <x:n v="680"/>
    <x:n v="422"/>
    <x:n v="646"/>
    <x:n v="0.5454545454545454"/>
    <x:n v="130"/>
    <x:n v="0.1428571428571428"/>
    <x:n v="106080"/>
    <x:n v="40248"/>
    <x:n v="0.05263157894736836"/>
    <x:s v="Hold / monitor"/>
  </x:r>
  <x:r>
    <x:d v="2026-11-21T00:00:00Z"/>
    <x:x v="0"/>
    <x:s v="Türkiye"/>
    <x:n v="42"/>
    <x:n v="252"/>
    <x:n v="134"/>
    <x:n v="37"/>
    <x:n v="26"/>
    <x:n v="741"/>
    <x:n v="459"/>
    <x:n v="800"/>
    <x:n v="0.5317460317460317"/>
    <x:n v="118"/>
    <x:n v="0.42307692307692313"/>
    <x:n v="99294"/>
    <x:n v="37788"/>
    <x:n v="-0.07374999999999998"/>
    <x:s v="Hold / monitor"/>
  </x:r>
  <x:r>
    <x:d v="2026-11-28T00:00:00Z"/>
    <x:x v="0"/>
    <x:s v="Türkiye"/>
    <x:n v="49"/>
    <x:n v="168"/>
    <x:n v="96"/>
    <x:n v="26"/>
    <x:n v="19"/>
    <x:n v="620"/>
    <x:n v="440"/>
    <x:n v="622"/>
    <x:n v="0.5714285714285714"/>
    <x:n v="72"/>
    <x:n v="0.368421052631579"/>
    <x:n v="59520"/>
    <x:n v="17280"/>
    <x:n v="-0.003215434083601254"/>
    <x:s v="Hold / monitor"/>
  </x:r>
  <x:r>
    <x:d v="2026-12-05T00:00:00Z"/>
    <x:x v="0"/>
    <x:s v="Türkiye"/>
    <x:n v="56"/>
    <x:n v="186"/>
    <x:n v="59"/>
    <x:n v="18"/>
    <x:n v="20"/>
    <x:n v="747"/>
    <x:n v="428"/>
    <x:n v="778"/>
    <x:n v="0.3172043010752688"/>
    <x:n v="127"/>
    <x:n v="-0.09999999999999998"/>
    <x:n v="44073"/>
    <x:n v="18821"/>
    <x:n v="-0.03984575835475579"/>
    <x:s v="Hold / monitor"/>
  </x:r>
  <x:r>
    <x:d v="2026-12-12T00:00:00Z"/>
    <x:x v="0"/>
    <x:s v="Türkiye"/>
    <x:n v="63"/>
    <x:n v="286"/>
    <x:n v="142"/>
    <x:n v="38"/>
    <x:n v="35"/>
    <x:n v="614"/>
    <x:n v="430"/>
    <x:n v="552"/>
    <x:n v="0.4965034965034965"/>
    <x:n v="144"/>
    <x:n v="0.08571428571428563"/>
    <x:n v="87188"/>
    <x:n v="26128"/>
    <x:n v="0.1123188405797102"/>
    <x:s v="Hold / monitor"/>
  </x:r>
  <x:r>
    <x:d v="2026-12-19T00:00:00Z"/>
    <x:x v="0"/>
    <x:s v="Türkiye"/>
    <x:n v="70"/>
    <x:n v="286"/>
    <x:n v="120"/>
    <x:n v="30"/>
    <x:n v="44"/>
    <x:n v="616"/>
    <x:n v="448"/>
    <x:n v="586"/>
    <x:n v="0.4195804195804196"/>
    <x:n v="166"/>
    <x:n v="-0.31818181818181823"/>
    <x:n v="73920"/>
    <x:n v="20160"/>
    <x:n v="0.05119453924914685"/>
    <x:s v="Hold / monitor"/>
  </x:r>
  <x:r>
    <x:d v="2026-12-26T00:00:00Z"/>
    <x:x v="0"/>
    <x:s v="Türkiye"/>
    <x:n v="77"/>
    <x:n v="286"/>
    <x:n v="46"/>
    <x:n v="68"/>
    <x:n v="83"/>
    <x:n v="617"/>
    <x:n v="417"/>
    <x:n v="604"/>
    <x:n v="0.16083916083916083"/>
    <x:n v="240"/>
    <x:n v="-0.1807228915662651"/>
    <x:n v="28382"/>
    <x:n v="9200"/>
    <x:n v="0.021523178807947074"/>
    <x:s v="Hold / monitor"/>
  </x:r>
  <x:r>
    <x:d v="2027-01-02T00:00:00Z"/>
    <x:x v="0"/>
    <x:s v="Türkiye"/>
    <x:n v="84"/>
    <x:n v="186"/>
    <x:n v="33"/>
    <x:n v="47"/>
    <x:n v="42"/>
    <x:n v="644"/>
    <x:n v="461"/>
    <x:n v="595"/>
    <x:n v="0.1774193548387097"/>
    <x:n v="153"/>
    <x:n v="0.11904761904761907"/>
    <x:n v="21252"/>
    <x:n v="6039"/>
    <x:n v="0.08235294117647052"/>
    <x:s v="Hold / monitor"/>
  </x:r>
  <x:r>
    <x:d v="2026-10-17T00:00:00Z"/>
    <x:x v="1"/>
    <x:s v="Portugal"/>
    <x:n v="7"/>
    <x:n v="186"/>
    <x:n v="140"/>
    <x:n v="20"/>
    <x:n v="20"/>
    <x:n v="488"/>
    <x:n v="333"/>
    <x:n v="494"/>
    <x:n v="0.7526881720430108"/>
    <x:n v="46"/>
    <x:n v="0"/>
    <x:n v="68320"/>
    <x:n v="21700"/>
    <x:n v="-0.012145748987854255"/>
    <x:s v="Hold / monitor"/>
  </x:r>
  <x:r>
    <x:d v="2026-10-24T00:00:00Z"/>
    <x:x v="1"/>
    <x:s v="Portugal"/>
    <x:n v="14"/>
    <x:n v="304"/>
    <x:n v="219"/>
    <x:n v="13"/>
    <x:n v="10"/>
    <x:n v="564"/>
    <x:n v="319"/>
    <x:n v="614"/>
    <x:n v="0.7203947368421053"/>
    <x:n v="85"/>
    <x:n v="0.30000000000000004"/>
    <x:n v="123516"/>
    <x:n v="53655"/>
    <x:n v="-0.08143322475570036"/>
    <x:s v="Hold / monitor"/>
  </x:r>
  <x:r>
    <x:d v="2026-10-31T00:00:00Z"/>
    <x:x v="1"/>
    <x:s v="Portugal"/>
    <x:n v="21"/>
    <x:n v="252"/>
    <x:n v="211"/>
    <x:n v="14"/>
    <x:n v="11"/>
    <x:n v="559"/>
    <x:n v="334"/>
    <x:n v="504"/>
    <x:n v="0.8373015873015873"/>
    <x:n v="41"/>
    <x:n v="0.2727272727272727"/>
    <x:n v="117949"/>
    <x:n v="47475"/>
    <x:n v="0.10912698412698418"/>
    <x:s v="Review increase"/>
  </x:r>
  <x:r>
    <x:d v="2026-11-07T00:00:00Z"/>
    <x:x v="1"/>
    <x:s v="Portugal"/>
    <x:n v="28"/>
    <x:n v="186"/>
    <x:n v="152"/>
    <x:n v="9"/>
    <x:n v="10"/>
    <x:n v="569"/>
    <x:n v="331"/>
    <x:n v="577"/>
    <x:n v="0.8172043010752689"/>
    <x:n v="34"/>
    <x:n v="-0.09999999999999998"/>
    <x:n v="86488"/>
    <x:n v="36176"/>
    <x:n v="-0.013864818024263426"/>
    <x:s v="Hold / monitor"/>
  </x:r>
  <x:r>
    <x:d v="2026-11-14T00:00:00Z"/>
    <x:x v="1"/>
    <x:s v="Portugal"/>
    <x:n v="35"/>
    <x:n v="286"/>
    <x:n v="146"/>
    <x:n v="25"/>
    <x:n v="38"/>
    <x:n v="481"/>
    <x:n v="320"/>
    <x:n v="518"/>
    <x:n v="0.5104895104895105"/>
    <x:n v="140"/>
    <x:n v="-0.3421052631578947"/>
    <x:n v="70226"/>
    <x:n v="23506"/>
    <x:n v="-0.0714285714285714"/>
    <x:s v="Hold / monitor"/>
  </x:r>
  <x:r>
    <x:d v="2026-11-21T00:00:00Z"/>
    <x:x v="1"/>
    <x:s v="Portugal"/>
    <x:n v="42"/>
    <x:n v="286"/>
    <x:n v="135"/>
    <x:n v="25"/>
    <x:n v="39"/>
    <x:n v="589"/>
    <x:n v="333"/>
    <x:n v="656"/>
    <x:n v="0.47202797202797203"/>
    <x:n v="151"/>
    <x:n v="-0.3589743589743589"/>
    <x:n v="79515"/>
    <x:n v="34560"/>
    <x:n v="-0.10213414634146345"/>
    <x:s v="Hold / monitor"/>
  </x:r>
  <x:r>
    <x:d v="2026-11-28T00:00:00Z"/>
    <x:x v="1"/>
    <x:s v="Portugal"/>
    <x:n v="49"/>
    <x:n v="228"/>
    <x:n v="101"/>
    <x:n v="34"/>
    <x:n v="31"/>
    <x:n v="616"/>
    <x:n v="317"/>
    <x:n v="586"/>
    <x:n v="0.44298245614035087"/>
    <x:n v="127"/>
    <x:n v="0.09677419354838701"/>
    <x:n v="62216"/>
    <x:n v="30199"/>
    <x:n v="0.05119453924914685"/>
    <x:s v="Hold / monitor"/>
  </x:r>
  <x:r>
    <x:d v="2026-12-05T00:00:00Z"/>
    <x:x v="1"/>
    <x:s v="Portugal"/>
    <x:n v="56"/>
    <x:n v="214"/>
    <x:n v="116"/>
    <x:n v="24"/>
    <x:n v="24"/>
    <x:n v="521"/>
    <x:n v="327"/>
    <x:n v="488"/>
    <x:n v="0.5420560747663551"/>
    <x:n v="98"/>
    <x:n v="0"/>
    <x:n v="60436"/>
    <x:n v="22504"/>
    <x:n v="0.06762295081967218"/>
    <x:s v="Hold / monitor"/>
  </x:r>
  <x:r>
    <x:d v="2026-12-12T00:00:00Z"/>
    <x:x v="1"/>
    <x:s v="Portugal"/>
    <x:n v="63"/>
    <x:n v="186"/>
    <x:n v="49"/>
    <x:n v="27"/>
    <x:n v="36"/>
    <x:n v="618"/>
    <x:n v="332"/>
    <x:n v="605"/>
    <x:n v="0.26344086021505375"/>
    <x:n v="137"/>
    <x:n v="-0.25"/>
    <x:n v="30282"/>
    <x:n v="14014"/>
    <x:n v="0.02148760330578514"/>
    <x:s v="Hold / monitor"/>
  </x:r>
  <x:r>
    <x:d v="2026-12-19T00:00:00Z"/>
    <x:x v="1"/>
    <x:s v="Portugal"/>
    <x:n v="70"/>
    <x:n v="252"/>
    <x:n v="66"/>
    <x:n v="32"/>
    <x:n v="23"/>
    <x:n v="527"/>
    <x:n v="341"/>
    <x:n v="468"/>
    <x:n v="0.2619047619047619"/>
    <x:n v="186"/>
    <x:n v="0.3913043478260869"/>
    <x:n v="34782"/>
    <x:n v="12276"/>
    <x:n v="0.12606837606837606"/>
    <x:s v="Hold / monitor"/>
  </x:r>
  <x:r>
    <x:d v="2026-12-26T00:00:00Z"/>
    <x:x v="1"/>
    <x:s v="Portugal"/>
    <x:n v="77"/>
    <x:n v="304"/>
    <x:n v="49"/>
    <x:n v="54"/>
    <x:n v="81"/>
    <x:n v="502"/>
    <x:n v="342"/>
    <x:n v="521"/>
    <x:n v="0.1611842105263158"/>
    <x:n v="255"/>
    <x:n v="-0.33333333333333337"/>
    <x:n v="24598"/>
    <x:n v="7840"/>
    <x:n v="-0.03646833013435702"/>
    <x:s v="Hold / monitor"/>
  </x:r>
  <x:r>
    <x:d v="2027-01-02T00:00:00Z"/>
    <x:x v="1"/>
    <x:s v="Portugal"/>
    <x:n v="84"/>
    <x:n v="286"/>
    <x:n v="99"/>
    <x:n v="29"/>
    <x:n v="36"/>
    <x:n v="610"/>
    <x:n v="320"/>
    <x:n v="576"/>
    <x:n v="0.34615384615384615"/>
    <x:n v="187"/>
    <x:n v="-0.19444444444444442"/>
    <x:n v="60390"/>
    <x:n v="28710"/>
    <x:n v="0.05902777777777768"/>
    <x:s v="Hold / monitor"/>
  </x:r>
  <x:r>
    <x:d v="2026-10-17T00:00:00Z"/>
    <x:x v="2"/>
    <x:s v="Spain"/>
    <x:n v="7"/>
    <x:n v="286"/>
    <x:n v="256"/>
    <x:n v="15"/>
    <x:n v="17"/>
    <x:n v="583"/>
    <x:n v="381"/>
    <x:n v="594"/>
    <x:n v="0.8951048951048951"/>
    <x:n v="30"/>
    <x:n v="-0.11764705882352944"/>
    <x:n v="149248"/>
    <x:n v="51712"/>
    <x:n v="-0.01851851851851849"/>
    <x:s v="Hold / monitor"/>
  </x:r>
  <x:r>
    <x:d v="2026-10-24T00:00:00Z"/>
    <x:x v="2"/>
    <x:s v="Spain"/>
    <x:n v="14"/>
    <x:n v="286"/>
    <x:n v="161"/>
    <x:n v="28"/>
    <x:n v="21"/>
    <x:n v="535"/>
    <x:n v="367"/>
    <x:n v="565"/>
    <x:n v="0.5629370629370629"/>
    <x:n v="125"/>
    <x:n v="0.33333333333333326"/>
    <x:n v="86135"/>
    <x:n v="27048"/>
    <x:n v="-0.053097345132743334"/>
    <x:s v="Hold / monitor"/>
  </x:r>
  <x:r>
    <x:d v="2026-10-31T00:00:00Z"/>
    <x:x v="2"/>
    <x:s v="Spain"/>
    <x:n v="21"/>
    <x:n v="186"/>
    <x:n v="119"/>
    <x:n v="23"/>
    <x:n v="20"/>
    <x:n v="618"/>
    <x:n v="345"/>
    <x:n v="638"/>
    <x:n v="0.6397849462365591"/>
    <x:n v="67"/>
    <x:n v="0.1499999999999999"/>
    <x:n v="73542"/>
    <x:n v="32487"/>
    <x:n v="-0.031347962382445194"/>
    <x:s v="Hold / monitor"/>
  </x:r>
  <x:r>
    <x:d v="2026-11-07T00:00:00Z"/>
    <x:x v="2"/>
    <x:s v="Spain"/>
    <x:n v="28"/>
    <x:n v="168"/>
    <x:n v="82"/>
    <x:n v="25"/>
    <x:n v="24"/>
    <x:n v="642"/>
    <x:n v="359"/>
    <x:n v="670"/>
    <x:n v="0.4880952380952381"/>
    <x:n v="86"/>
    <x:n v="0.04166666666666674"/>
    <x:n v="52644"/>
    <x:n v="23206"/>
    <x:n v="-0.04179104477611939"/>
    <x:s v="Review decrease"/>
  </x:r>
  <x:r>
    <x:d v="2026-11-14T00:00:00Z"/>
    <x:x v="2"/>
    <x:s v="Spain"/>
    <x:n v="35"/>
    <x:n v="228"/>
    <x:n v="114"/>
    <x:n v="31"/>
    <x:n v="40"/>
    <x:n v="637"/>
    <x:n v="363"/>
    <x:n v="654"/>
    <x:n v="0.5"/>
    <x:n v="114"/>
    <x:n v="-0.22499999999999998"/>
    <x:n v="72618"/>
    <x:n v="31236"/>
    <x:n v="-0.025993883792048922"/>
    <x:s v="Hold / monitor"/>
  </x:r>
  <x:r>
    <x:d v="2026-11-21T00:00:00Z"/>
    <x:x v="2"/>
    <x:s v="Spain"/>
    <x:n v="42"/>
    <x:n v="214"/>
    <x:n v="114"/>
    <x:n v="28"/>
    <x:n v="32"/>
    <x:n v="597"/>
    <x:n v="361"/>
    <x:n v="571"/>
    <x:n v="0.5327102803738317"/>
    <x:n v="100"/>
    <x:n v="-0.125"/>
    <x:n v="68058"/>
    <x:n v="26904"/>
    <x:n v="0.04553415061295962"/>
    <x:s v="Hold / monitor"/>
  </x:r>
  <x:r>
    <x:d v="2026-11-28T00:00:00Z"/>
    <x:x v="2"/>
    <x:s v="Spain"/>
    <x:n v="49"/>
    <x:n v="252"/>
    <x:n v="140"/>
    <x:n v="20"/>
    <x:n v="29"/>
    <x:n v="677"/>
    <x:n v="373"/>
    <x:n v="605"/>
    <x:n v="0.5555555555555556"/>
    <x:n v="112"/>
    <x:n v="-0.31034482758620685"/>
    <x:n v="94780"/>
    <x:n v="42560"/>
    <x:n v="0.11900826446280988"/>
    <x:s v="Hold / monitor"/>
  </x:r>
  <x:r>
    <x:d v="2026-12-05T00:00:00Z"/>
    <x:x v="2"/>
    <x:s v="Spain"/>
    <x:n v="56"/>
    <x:n v="186"/>
    <x:n v="52"/>
    <x:n v="40"/>
    <x:n v="29"/>
    <x:n v="606"/>
    <x:n v="367"/>
    <x:n v="650"/>
    <x:n v="0.27956989247311825"/>
    <x:n v="134"/>
    <x:n v="0.3793103448275863"/>
    <x:n v="31512"/>
    <x:n v="12428"/>
    <x:n v="-0.06769230769230772"/>
    <x:s v="Hold / monitor"/>
  </x:r>
  <x:r>
    <x:d v="2026-12-12T00:00:00Z"/>
    <x:x v="2"/>
    <x:s v="Spain"/>
    <x:n v="63"/>
    <x:n v="286"/>
    <x:n v="90"/>
    <x:n v="34"/>
    <x:n v="35"/>
    <x:n v="595"/>
    <x:n v="372"/>
    <x:n v="562"/>
    <x:n v="0.3146853146853147"/>
    <x:n v="196"/>
    <x:n v="-0.02857142857142858"/>
    <x:n v="53550"/>
    <x:n v="20070"/>
    <x:n v="0.0587188612099645"/>
    <x:s v="Hold / monitor"/>
  </x:r>
  <x:r>
    <x:d v="2026-12-19T00:00:00Z"/>
    <x:x v="2"/>
    <x:s v="Spain"/>
    <x:n v="70"/>
    <x:n v="228"/>
    <x:n v="36"/>
    <x:n v="50"/>
    <x:n v="53"/>
    <x:n v="590"/>
    <x:n v="356"/>
    <x:n v="569"/>
    <x:n v="0.15789473684210525"/>
    <x:n v="192"/>
    <x:n v="-0.05660377358490565"/>
    <x:n v="21240"/>
    <x:n v="8424"/>
    <x:n v="0.03690685413005279"/>
    <x:s v="Hold / monitor"/>
  </x:r>
  <x:r>
    <x:d v="2026-12-26T00:00:00Z"/>
    <x:x v="2"/>
    <x:s v="Spain"/>
    <x:n v="77"/>
    <x:n v="286"/>
    <x:n v="46"/>
    <x:n v="69"/>
    <x:n v="52"/>
    <x:n v="653"/>
    <x:n v="361"/>
    <x:n v="641"/>
    <x:n v="0.16083916083916083"/>
    <x:n v="240"/>
    <x:n v="0.32692307692307687"/>
    <x:n v="30038"/>
    <x:n v="13432"/>
    <x:n v="0.018720748829953227"/>
    <x:s v="Hold / monitor"/>
  </x:r>
  <x:r>
    <x:d v="2027-01-02T00:00:00Z"/>
    <x:x v="2"/>
    <x:s v="Spain"/>
    <x:n v="84"/>
    <x:n v="304"/>
    <x:n v="54"/>
    <x:n v="40"/>
    <x:n v="32"/>
    <x:n v="645"/>
    <x:n v="372"/>
    <x:n v="676"/>
    <x:n v="0.17763157894736842"/>
    <x:n v="250"/>
    <x:n v="0.25"/>
    <x:n v="34830"/>
    <x:n v="14742"/>
    <x:n v="-0.04585798816568043"/>
    <x:s v="Hold / monitor"/>
  </x:r>
  <x:r>
    <x:d v="2026-10-17T00:00:00Z"/>
    <x:x v="3"/>
    <x:s v="Morocco"/>
    <x:n v="7"/>
    <x:n v="168"/>
    <x:n v="109"/>
    <x:n v="18"/>
    <x:n v="21"/>
    <x:n v="530"/>
    <x:n v="392"/>
    <x:n v="495"/>
    <x:n v="0.6488095238095238"/>
    <x:n v="59"/>
    <x:n v="-0.1428571428571429"/>
    <x:n v="57770"/>
    <x:n v="15042"/>
    <x:n v="0.07070707070707072"/>
    <x:s v="Hold / monitor"/>
  </x:r>
  <x:r>
    <x:d v="2026-10-24T00:00:00Z"/>
    <x:x v="3"/>
    <x:s v="Morocco"/>
    <x:n v="14"/>
    <x:n v="252"/>
    <x:n v="194"/>
    <x:n v="12"/>
    <x:n v="16"/>
    <x:n v="558"/>
    <x:n v="359"/>
    <x:n v="599"/>
    <x:n v="0.7698412698412699"/>
    <x:n v="58"/>
    <x:n v="-0.25"/>
    <x:n v="108252"/>
    <x:n v="38606"/>
    <x:n v="-0.06844741235392315"/>
    <x:s v="Hold / monitor"/>
  </x:r>
  <x:r>
    <x:d v="2026-10-31T00:00:00Z"/>
    <x:x v="3"/>
    <x:s v="Morocco"/>
    <x:n v="21"/>
    <x:n v="304"/>
    <x:n v="235"/>
    <x:n v="21"/>
    <x:n v="16"/>
    <x:n v="604"/>
    <x:n v="391"/>
    <x:n v="547"/>
    <x:n v="0.7730263157894737"/>
    <x:n v="69"/>
    <x:n v="0.3125"/>
    <x:n v="141940"/>
    <x:n v="50055"/>
    <x:n v="0.1042047531992687"/>
    <x:s v="Review increase"/>
  </x:r>
  <x:r>
    <x:d v="2026-11-07T00:00:00Z"/>
    <x:x v="3"/>
    <x:s v="Morocco"/>
    <x:n v="28"/>
    <x:n v="228"/>
    <x:n v="126"/>
    <x:n v="31"/>
    <x:n v="42"/>
    <x:n v="663"/>
    <x:n v="383"/>
    <x:n v="704"/>
    <x:n v="0.5526315789473685"/>
    <x:n v="102"/>
    <x:n v="-0.26190476190476186"/>
    <x:n v="83538"/>
    <x:n v="35280"/>
    <x:n v="-0.058238636363636354"/>
    <x:s v="Hold / monitor"/>
  </x:r>
  <x:r>
    <x:d v="2026-11-14T00:00:00Z"/>
    <x:x v="3"/>
    <x:s v="Morocco"/>
    <x:n v="35"/>
    <x:n v="186"/>
    <x:n v="122"/>
    <x:n v="28"/>
    <x:n v="25"/>
    <x:n v="613"/>
    <x:n v="383"/>
    <x:n v="624"/>
    <x:n v="0.6559139784946236"/>
    <x:n v="64"/>
    <x:n v="0.1200000000000001"/>
    <x:n v="74786"/>
    <x:n v="28060"/>
    <x:n v="-0.017628205128205177"/>
    <x:s v="Hold / monitor"/>
  </x:r>
  <x:r>
    <x:d v="2026-11-21T00:00:00Z"/>
    <x:x v="3"/>
    <x:s v="Morocco"/>
    <x:n v="42"/>
    <x:n v="168"/>
    <x:n v="82"/>
    <x:n v="21"/>
    <x:n v="26"/>
    <x:n v="637"/>
    <x:n v="380"/>
    <x:n v="685"/>
    <x:n v="0.4880952380952381"/>
    <x:n v="86"/>
    <x:n v="-0.1923076923076923"/>
    <x:n v="52234"/>
    <x:n v="21074"/>
    <x:n v="-0.07007299270072997"/>
    <x:s v="Hold / monitor"/>
  </x:r>
  <x:r>
    <x:d v="2026-11-28T00:00:00Z"/>
    <x:x v="3"/>
    <x:s v="Morocco"/>
    <x:n v="49"/>
    <x:n v="304"/>
    <x:n v="205"/>
    <x:n v="17"/>
    <x:n v="17"/>
    <x:n v="626"/>
    <x:n v="396"/>
    <x:n v="553"/>
    <x:n v="0.6743421052631579"/>
    <x:n v="99"/>
    <x:n v="0"/>
    <x:n v="128330"/>
    <x:n v="47150"/>
    <x:n v="0.13200723327305597"/>
    <x:s v="Hold / monitor"/>
  </x:r>
  <x:r>
    <x:d v="2026-12-05T00:00:00Z"/>
    <x:x v="3"/>
    <x:s v="Morocco"/>
    <x:n v="56"/>
    <x:n v="186"/>
    <x:n v="107"/>
    <x:n v="17"/>
    <x:n v="20"/>
    <x:n v="549"/>
    <x:n v="394"/>
    <x:n v="537"/>
    <x:n v="0.5752688172043011"/>
    <x:n v="79"/>
    <x:n v="-0.15000000000000002"/>
    <x:n v="58743"/>
    <x:n v="16585"/>
    <x:n v="0.022346368715083775"/>
    <x:s v="Hold / monitor"/>
  </x:r>
  <x:r>
    <x:d v="2026-12-12T00:00:00Z"/>
    <x:x v="3"/>
    <x:s v="Morocco"/>
    <x:n v="63"/>
    <x:n v="252"/>
    <x:n v="70"/>
    <x:n v="31"/>
    <x:n v="43"/>
    <x:n v="678"/>
    <x:n v="378"/>
    <x:n v="667"/>
    <x:n v="0.2777777777777778"/>
    <x:n v="182"/>
    <x:n v="-0.2790697674418605"/>
    <x:n v="47460"/>
    <x:n v="21000"/>
    <x:n v="0.016491754122938573"/>
    <x:s v="Hold / monitor"/>
  </x:r>
  <x:r>
    <x:d v="2026-12-19T00:00:00Z"/>
    <x:x v="3"/>
    <x:s v="Morocco"/>
    <x:n v="70"/>
    <x:n v="286"/>
    <x:n v="131"/>
    <x:n v="22"/>
    <x:n v="20"/>
    <x:n v="611"/>
    <x:n v="378"/>
    <x:n v="588"/>
    <x:n v="0.458041958041958"/>
    <x:n v="155"/>
    <x:n v="0.10000000000000009"/>
    <x:n v="80041"/>
    <x:n v="30523"/>
    <x:n v="0.03911564625850339"/>
    <x:s v="Hold / monitor"/>
  </x:r>
  <x:r>
    <x:d v="2026-12-26T00:00:00Z"/>
    <x:x v="3"/>
    <x:s v="Morocco"/>
    <x:n v="77"/>
    <x:n v="304"/>
    <x:n v="49"/>
    <x:n v="70"/>
    <x:n v="61"/>
    <x:n v="631"/>
    <x:n v="372"/>
    <x:n v="627"/>
    <x:n v="0.1611842105263158"/>
    <x:n v="255"/>
    <x:n v="0.14754098360655732"/>
    <x:n v="30919"/>
    <x:n v="12691"/>
    <x:n v="0.006379585326953707"/>
    <x:s v="Hold / monitor"/>
  </x:r>
  <x:r>
    <x:d v="2027-01-02T00:00:00Z"/>
    <x:x v="3"/>
    <x:s v="Morocco"/>
    <x:n v="84"/>
    <x:n v="228"/>
    <x:n v="99"/>
    <x:n v="30"/>
    <x:n v="25"/>
    <x:n v="608"/>
    <x:n v="386"/>
    <x:n v="626"/>
    <x:n v="0.4342105263157895"/>
    <x:n v="129"/>
    <x:n v="0.19999999999999996"/>
    <x:n v="60192"/>
    <x:n v="21978"/>
    <x:n v="-0.028753993610223683"/>
    <x:s v="Hold / monitor"/>
  </x:r>
  <x:r>
    <x:d v="2026-10-17T00:00:00Z"/>
    <x:x v="4"/>
    <x:s v="Italy"/>
    <x:n v="7"/>
    <x:n v="286"/>
    <x:n v="171"/>
    <x:n v="31"/>
    <x:n v="40"/>
    <x:n v="556"/>
    <x:n v="408"/>
    <x:n v="613"/>
    <x:n v="0.5979020979020979"/>
    <x:n v="115"/>
    <x:n v="-0.22499999999999998"/>
    <x:n v="95076"/>
    <x:n v="25308"/>
    <x:n v="-0.09298531810766719"/>
    <x:s v="Hold / monitor"/>
  </x:r>
  <x:r>
    <x:d v="2026-10-24T00:00:00Z"/>
    <x:x v="4"/>
    <x:s v="Italy"/>
    <x:n v="14"/>
    <x:n v="214"/>
    <x:n v="119"/>
    <x:n v="22"/>
    <x:n v="25"/>
    <x:n v="582"/>
    <x:n v="403"/>
    <x:n v="599"/>
    <x:n v="0.5560747663551402"/>
    <x:n v="95"/>
    <x:n v="-0.12"/>
    <x:n v="69258"/>
    <x:n v="21301"/>
    <x:n v="-0.028380634390651083"/>
    <x:s v="Hold / monitor"/>
  </x:r>
  <x:r>
    <x:d v="2026-10-31T00:00:00Z"/>
    <x:x v="4"/>
    <x:s v="Italy"/>
    <x:n v="21"/>
    <x:n v="286"/>
    <x:n v="186"/>
    <x:n v="30"/>
    <x:n v="44"/>
    <x:n v="669"/>
    <x:n v="392"/>
    <x:n v="591"/>
    <x:n v="0.6503496503496503"/>
    <x:n v="100"/>
    <x:n v="-0.31818181818181823"/>
    <x:n v="124434"/>
    <x:n v="51522"/>
    <x:n v="0.13197969543147203"/>
    <x:s v="Hold / monitor"/>
  </x:r>
  <x:r>
    <x:d v="2026-11-07T00:00:00Z"/>
    <x:x v="4"/>
    <x:s v="Italy"/>
    <x:n v="28"/>
    <x:n v="252"/>
    <x:n v="191"/>
    <x:n v="18"/>
    <x:n v="24"/>
    <x:n v="662"/>
    <x:n v="376"/>
    <x:n v="731"/>
    <x:n v="0.7579365079365079"/>
    <x:n v="61"/>
    <x:n v="-0.25"/>
    <x:n v="126442"/>
    <x:n v="54626"/>
    <x:n v="-0.09439124487004102"/>
    <x:s v="Hold / monitor"/>
  </x:r>
  <x:r>
    <x:d v="2026-11-14T00:00:00Z"/>
    <x:x v="4"/>
    <x:s v="Italy"/>
    <x:n v="35"/>
    <x:n v="186"/>
    <x:n v="111"/>
    <x:n v="21"/>
    <x:n v="32"/>
    <x:n v="569"/>
    <x:n v="411"/>
    <x:n v="527"/>
    <x:n v="0.5967741935483871"/>
    <x:n v="75"/>
    <x:n v="-0.34375"/>
    <x:n v="63159"/>
    <x:n v="17538"/>
    <x:n v="0.07969639468690692"/>
    <x:s v="Hold / monitor"/>
  </x:r>
  <x:r>
    <x:d v="2026-11-21T00:00:00Z"/>
    <x:x v="4"/>
    <x:s v="Italy"/>
    <x:n v="42"/>
    <x:n v="214"/>
    <x:n v="151"/>
    <x:n v="10"/>
    <x:n v="15"/>
    <x:n v="556"/>
    <x:n v="410"/>
    <x:n v="534"/>
    <x:n v="0.705607476635514"/>
    <x:n v="63"/>
    <x:n v="-0.33333333333333337"/>
    <x:n v="83956"/>
    <x:n v="22046"/>
    <x:n v="0.04119850187265928"/>
    <x:s v="Hold / monitor"/>
  </x:r>
  <x:r>
    <x:d v="2026-11-28T00:00:00Z"/>
    <x:x v="4"/>
    <x:s v="Italy"/>
    <x:n v="49"/>
    <x:n v="304"/>
    <x:n v="117"/>
    <x:n v="55"/>
    <x:n v="71"/>
    <x:n v="657"/>
    <x:n v="413"/>
    <x:n v="734"/>
    <x:n v="0.3848684210526316"/>
    <x:n v="187"/>
    <x:n v="-0.22535211267605637"/>
    <x:n v="76869"/>
    <x:n v="28548"/>
    <x:n v="-0.1049046321525886"/>
    <x:s v="Hold / monitor"/>
  </x:r>
  <x:r>
    <x:d v="2026-12-05T00:00:00Z"/>
    <x:x v="4"/>
    <x:s v="Italy"/>
    <x:n v="56"/>
    <x:n v="286"/>
    <x:n v="114"/>
    <x:n v="42"/>
    <x:n v="45"/>
    <x:n v="612"/>
    <x:n v="391"/>
    <x:n v="583"/>
    <x:n v="0.3986013986013986"/>
    <x:n v="172"/>
    <x:n v="-0.06666666666666665"/>
    <x:n v="69768"/>
    <x:n v="25194"/>
    <x:n v="0.0497427101200687"/>
    <x:s v="Hold / monitor"/>
  </x:r>
  <x:r>
    <x:d v="2026-12-12T00:00:00Z"/>
    <x:x v="4"/>
    <x:s v="Italy"/>
    <x:n v="63"/>
    <x:n v="214"/>
    <x:n v="107"/>
    <x:n v="15"/>
    <x:n v="15"/>
    <x:n v="718"/>
    <x:n v="403"/>
    <x:n v="688"/>
    <x:n v="0.5"/>
    <x:n v="107"/>
    <x:n v="0"/>
    <x:n v="76826"/>
    <x:n v="33705"/>
    <x:n v="0.043604651162790775"/>
    <x:s v="Hold / monitor"/>
  </x:r>
  <x:r>
    <x:d v="2026-12-19T00:00:00Z"/>
    <x:x v="4"/>
    <x:s v="Italy"/>
    <x:n v="70"/>
    <x:n v="186"/>
    <x:n v="59"/>
    <x:n v="31"/>
    <x:n v="30"/>
    <x:n v="587"/>
    <x:n v="399"/>
    <x:n v="527"/>
    <x:n v="0.3172043010752688"/>
    <x:n v="127"/>
    <x:n v="0.03333333333333344"/>
    <x:n v="34633"/>
    <x:n v="11092"/>
    <x:n v="0.1138519924098671"/>
    <x:s v="Hold / monitor"/>
  </x:r>
  <x:r>
    <x:d v="2026-12-26T00:00:00Z"/>
    <x:x v="4"/>
    <x:s v="Italy"/>
    <x:n v="77"/>
    <x:n v="252"/>
    <x:n v="41"/>
    <x:n v="43"/>
    <x:n v="65"/>
    <x:n v="608"/>
    <x:n v="378"/>
    <x:n v="632"/>
    <x:n v="0.1626984126984127"/>
    <x:n v="211"/>
    <x:n v="-0.3384615384615385"/>
    <x:n v="24928"/>
    <x:n v="9430"/>
    <x:n v="-0.03797468354430378"/>
    <x:s v="Hold / monitor"/>
  </x:r>
  <x:r>
    <x:d v="2027-01-02T00:00:00Z"/>
    <x:x v="4"/>
    <x:s v="Italy"/>
    <x:n v="84"/>
    <x:n v="228"/>
    <x:n v="64"/>
    <x:n v="28"/>
    <x:n v="28"/>
    <x:n v="676"/>
    <x:n v="406"/>
    <x:n v="697"/>
    <x:n v="0.2807017543859649"/>
    <x:n v="164"/>
    <x:n v="0"/>
    <x:n v="43264"/>
    <x:n v="17280"/>
    <x:n v="-0.03012912482065999"/>
    <x:s v="Hold / monitor"/>
  </x:r>
  <x:r>
    <x:d v="2026-10-17T00:00:00Z"/>
    <x:x v="5"/>
    <x:s v="Canaries"/>
    <x:n v="7"/>
    <x:n v="286"/>
    <x:n v="257"/>
    <x:n v="15"/>
    <x:n v="12"/>
    <x:n v="717"/>
    <x:n v="462"/>
    <x:n v="706"/>
    <x:n v="0.8986013986013986"/>
    <x:n v="29"/>
    <x:n v="0.25"/>
    <x:n v="184269"/>
    <x:n v="65535"/>
    <x:n v="0.015580736543909346"/>
    <x:s v="Review increase"/>
  </x:r>
  <x:r>
    <x:d v="2026-10-24T00:00:00Z"/>
    <x:x v="5"/>
    <x:s v="Canaries"/>
    <x:n v="14"/>
    <x:n v="168"/>
    <x:n v="120"/>
    <x:n v="11"/>
    <x:n v="10"/>
    <x:n v="734"/>
    <x:n v="464"/>
    <x:n v="671"/>
    <x:n v="0.7142857142857143"/>
    <x:n v="48"/>
    <x:n v="0.10000000000000009"/>
    <x:n v="88080"/>
    <x:n v="32400"/>
    <x:n v="0.0938897168405366"/>
    <x:s v="Hold / monitor"/>
  </x:r>
  <x:r>
    <x:d v="2026-10-31T00:00:00Z"/>
    <x:x v="5"/>
    <x:s v="Canaries"/>
    <x:n v="21"/>
    <x:n v="214"/>
    <x:n v="173"/>
    <x:n v="14"/>
    <x:n v="17"/>
    <x:n v="677"/>
    <x:n v="467"/>
    <x:n v="631"/>
    <x:n v="0.8084112149532711"/>
    <x:n v="41"/>
    <x:n v="-0.17647058823529416"/>
    <x:n v="117121"/>
    <x:n v="36330"/>
    <x:n v="0.07290015847860531"/>
    <x:s v="Hold / monitor"/>
  </x:r>
  <x:r>
    <x:d v="2026-11-07T00:00:00Z"/>
    <x:x v="5"/>
    <x:s v="Canaries"/>
    <x:n v="28"/>
    <x:n v="168"/>
    <x:n v="149"/>
    <x:n v="13"/>
    <x:n v="13"/>
    <x:n v="653"/>
    <x:n v="477"/>
    <x:n v="638"/>
    <x:n v="0.8869047619047619"/>
    <x:n v="19"/>
    <x:n v="0"/>
    <x:n v="97297"/>
    <x:n v="26224"/>
    <x:n v="0.023510971786833812"/>
    <x:s v="Hold / monitor"/>
  </x:r>
  <x:r>
    <x:d v="2026-11-14T00:00:00Z"/>
    <x:x v="5"/>
    <x:s v="Canaries"/>
    <x:n v="35"/>
    <x:n v="228"/>
    <x:n v="135"/>
    <x:n v="26"/>
    <x:n v="21"/>
    <x:n v="815"/>
    <x:n v="479"/>
    <x:n v="758"/>
    <x:n v="0.5921052631578947"/>
    <x:n v="93"/>
    <x:n v="0.23809523809523814"/>
    <x:n v="110025"/>
    <x:n v="45360"/>
    <x:n v="0.07519788918205794"/>
    <x:s v="Hold / monitor"/>
  </x:r>
  <x:r>
    <x:d v="2026-11-21T00:00:00Z"/>
    <x:x v="5"/>
    <x:s v="Canaries"/>
    <x:n v="42"/>
    <x:n v="186"/>
    <x:n v="141"/>
    <x:n v="16"/>
    <x:n v="19"/>
    <x:n v="811"/>
    <x:n v="468"/>
    <x:n v="842"/>
    <x:n v="0.7580645161290323"/>
    <x:n v="45"/>
    <x:n v="-0.1578947368421053"/>
    <x:n v="114351"/>
    <x:n v="48363"/>
    <x:n v="-0.03681710213776723"/>
    <x:s v="Hold / monitor"/>
  </x:r>
  <x:r>
    <x:d v="2026-11-28T00:00:00Z"/>
    <x:x v="5"/>
    <x:s v="Canaries"/>
    <x:n v="49"/>
    <x:n v="186"/>
    <x:n v="105"/>
    <x:n v="27"/>
    <x:n v="41"/>
    <x:n v="766"/>
    <x:n v="456"/>
    <x:n v="681"/>
    <x:n v="0.5645161290322581"/>
    <x:n v="81"/>
    <x:n v="-0.3414634146341463"/>
    <x:n v="80430"/>
    <x:n v="32550"/>
    <x:n v="0.12481644640234957"/>
    <x:s v="Hold / monitor"/>
  </x:r>
  <x:r>
    <x:d v="2026-12-05T00:00:00Z"/>
    <x:x v="5"/>
    <x:s v="Canaries"/>
    <x:n v="56"/>
    <x:n v="228"/>
    <x:n v="85"/>
    <x:n v="36"/>
    <x:n v="32"/>
    <x:n v="817"/>
    <x:n v="480"/>
    <x:n v="787"/>
    <x:n v="0.37280701754385964"/>
    <x:n v="143"/>
    <x:n v="0.125"/>
    <x:n v="69445"/>
    <x:n v="28645"/>
    <x:n v="0.03811944091486663"/>
    <x:s v="Hold / monitor"/>
  </x:r>
  <x:r>
    <x:d v="2026-12-12T00:00:00Z"/>
    <x:x v="5"/>
    <x:s v="Canaries"/>
    <x:n v="63"/>
    <x:n v="286"/>
    <x:n v="142"/>
    <x:n v="25"/>
    <x:n v="34"/>
    <x:n v="778"/>
    <x:n v="480"/>
    <x:n v="686"/>
    <x:n v="0.4965034965034965"/>
    <x:n v="144"/>
    <x:n v="-0.2647058823529411"/>
    <x:n v="110476"/>
    <x:n v="42316"/>
    <x:n v="0.13411078717201175"/>
    <x:s v="Hold / monitor"/>
  </x:r>
  <x:r>
    <x:d v="2026-12-19T00:00:00Z"/>
    <x:x v="5"/>
    <x:s v="Canaries"/>
    <x:n v="70"/>
    <x:n v="286"/>
    <x:n v="114"/>
    <x:n v="35"/>
    <x:n v="30"/>
    <x:n v="669"/>
    <x:n v="483"/>
    <x:n v="611"/>
    <x:n v="0.3986013986013986"/>
    <x:n v="172"/>
    <x:n v="0.16666666666666674"/>
    <x:n v="76266"/>
    <x:n v="21204"/>
    <x:n v="0.09492635024549911"/>
    <x:s v="Hold / monitor"/>
  </x:r>
  <x:r>
    <x:d v="2026-12-26T00:00:00Z"/>
    <x:x v="5"/>
    <x:s v="Canaries"/>
    <x:n v="77"/>
    <x:n v="214"/>
    <x:n v="79"/>
    <x:n v="26"/>
    <x:n v="38"/>
    <x:n v="645"/>
    <x:n v="485"/>
    <x:n v="633"/>
    <x:n v="0.3691588785046729"/>
    <x:n v="135"/>
    <x:n v="-0.3157894736842105"/>
    <x:n v="50955"/>
    <x:n v="12640"/>
    <x:n v="0.018957345971563955"/>
    <x:s v="Hold / monitor"/>
  </x:r>
  <x:r>
    <x:d v="2027-01-02T00:00:00Z"/>
    <x:x v="5"/>
    <x:s v="Canaries"/>
    <x:n v="84"/>
    <x:n v="252"/>
    <x:n v="62"/>
    <x:n v="32"/>
    <x:n v="26"/>
    <x:n v="785"/>
    <x:n v="491"/>
    <x:n v="714"/>
    <x:n v="0.24603174603174602"/>
    <x:n v="190"/>
    <x:n v="0.23076923076923084"/>
    <x:n v="48670"/>
    <x:n v="18228"/>
    <x:n v="0.09943977591036424"/>
    <x:s v="Hold / monitor"/>
  </x:r>
</x:pivotCacheRecords>
</file>